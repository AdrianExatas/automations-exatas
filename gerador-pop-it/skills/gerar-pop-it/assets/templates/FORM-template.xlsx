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  <Override PartName="/xl/comments1.xml" ContentType="application/vnd.openxmlformats-officedocument.spreadsheetml.comment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7630" yWindow="1200" windowWidth="27630" windowHeight="15000" tabRatio="600" firstSheet="0" activeTab="0" autoFilterDateGrouping="1"/>
  </bookViews>
  <sheets>
    <sheet xmlns:r="http://schemas.openxmlformats.org/officeDocument/2006/relationships" name="FORM" sheetId="1" state="visible" r:id="rId1"/>
  </sheets>
  <definedNames>
    <definedName name="_xlnm.Print_Area" localSheetId="0">'FORM'!$B$2:$K$85</definedName>
  </definedNames>
  <calcPr calcId="191029" fullCalcOnLoad="1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Atos Nick Batista</author>
  </authors>
  <commentList>
    <comment ref="E8" authorId="0" shapeId="0" xr:uid="{19DB769E-3C26-48E2-8B14-9331CA587D33}">
      <text>
        <r>
          <rPr>
            <sz val="9"/>
            <color indexed="81"/>
            <rFont val="Segoe UI"/>
            <family val="2"/>
          </rPr>
          <t>Status Automático da Tarefa</t>
        </r>
      </text>
    </comment>
    <comment ref="F8" authorId="0" shapeId="0" xr:uid="{67916704-E575-4F95-BA40-D3080B372F8A}">
      <text>
        <r>
          <rPr>
            <sz val="9"/>
            <color indexed="81"/>
            <rFont val="Segoe UI"/>
            <family val="2"/>
          </rPr>
          <t>Prazo Restante Entrega da Tarefa</t>
        </r>
      </text>
    </comment>
    <comment ref="C9" authorId="0" shapeId="0" xr:uid="{22B66B5F-8CB6-43E9-B559-492CF675A298}">
      <text>
        <r>
          <rPr>
            <sz val="9"/>
            <color indexed="81"/>
            <rFont val="Segoe UI"/>
            <family val="2"/>
          </rPr>
          <t>Data Prevista Execução da Tarefa</t>
        </r>
      </text>
    </comment>
    <comment ref="C10" authorId="0" shapeId="0" xr:uid="{72503653-818D-400E-A8EF-1C06C5DE1E0D}">
      <text>
        <r>
          <rPr>
            <sz val="9"/>
            <color indexed="81"/>
            <rFont val="Segoe UI"/>
            <family val="2"/>
          </rPr>
          <t>Data Ação + Qtde. Dias de Prazo à Conclusão da Tarefa</t>
        </r>
      </text>
    </comment>
    <comment ref="C11" authorId="0" shapeId="0" xr:uid="{BB0FC635-9A6D-4C2A-832F-9E9664E21ED5}">
      <text>
        <r>
          <rPr>
            <sz val="9"/>
            <color indexed="81"/>
            <rFont val="Segoe UI"/>
            <family val="2"/>
          </rPr>
          <t>Data Meta + Qtde. Dias de Prazo à Checagem Final e Envio ao Cliente</t>
        </r>
      </text>
    </comment>
    <comment ref="B14" authorId="0" shapeId="0" xr:uid="{23F095D4-8796-47E4-8B3D-631442CD1106}">
      <text>
        <r>
          <rPr>
            <sz val="9"/>
            <color indexed="81"/>
            <rFont val="Segoe UI"/>
            <family val="2"/>
          </rPr>
          <t>Nome Setor</t>
        </r>
      </text>
    </comment>
    <comment ref="F15" authorId="0" shapeId="0" xr:uid="{C932D7AC-7E3E-4BA2-8075-207EFFFCC3DF}">
      <text>
        <r>
          <rPr>
            <sz val="9"/>
            <color indexed="81"/>
            <rFont val="Segoe UI"/>
            <family val="2"/>
          </rPr>
          <t>Coeficiente Conformidade no Cumprimento da Atividade</t>
        </r>
      </text>
    </comment>
    <comment ref="G15" authorId="0" shapeId="0" xr:uid="{9A918E06-4B86-49BB-9EC4-462F24C2F605}">
      <text>
        <r>
          <rPr>
            <sz val="9"/>
            <color indexed="81"/>
            <rFont val="Segoe UI"/>
            <family val="2"/>
          </rPr>
          <t xml:space="preserve">Coeficiente Conformidade Verificada na Inspeção [Double Check]
</t>
        </r>
      </text>
    </comment>
    <comment ref="B16" authorId="0" shapeId="0" xr:uid="{065D462B-AFDE-43B3-898E-B0121966C111}">
      <text>
        <r>
          <rPr>
            <sz val="9"/>
            <color indexed="81"/>
            <rFont val="Segoe UI"/>
            <family val="2"/>
          </rPr>
          <t>Pergunta Objetiva Com Descrição Atividade [Etapa]</t>
        </r>
      </text>
    </comment>
    <comment ref="H16" authorId="0" shapeId="0" xr:uid="{48E487D3-86BD-4624-82F0-5CEC28993B95}">
      <text>
        <r>
          <rPr>
            <sz val="9"/>
            <color indexed="81"/>
            <rFont val="Segoe UI"/>
            <family val="2"/>
          </rPr>
          <t>Campo reservado para apresentação de ponderações do analista</t>
        </r>
      </text>
    </comment>
    <comment ref="H18" authorId="0" shapeId="0" xr:uid="{A8AB1D0D-06C0-4EFD-994F-13C517235FA9}">
      <text>
        <r>
          <rPr>
            <sz val="9"/>
            <color indexed="81"/>
            <rFont val="Segoe UI"/>
            <family val="2"/>
          </rPr>
          <t>Campo reservado para apresentação de evidências da inspeção</t>
        </r>
      </text>
    </comment>
  </commentList>
</comments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 Narrow"/>
      <family val="2"/>
      <color theme="1"/>
      <sz val="10"/>
    </font>
    <font>
      <name val="Arial Narrow"/>
      <family val="2"/>
      <color theme="1"/>
      <sz val="6"/>
    </font>
    <font>
      <name val="Arial Narrow"/>
      <family val="2"/>
      <b val="1"/>
      <color rgb="FF808080"/>
      <sz val="10"/>
    </font>
    <font>
      <name val="Arial Narrow"/>
      <family val="2"/>
      <color rgb="FF808080"/>
      <sz val="10"/>
    </font>
    <font>
      <name val="Arial Narrow"/>
      <family val="2"/>
      <b val="1"/>
      <color indexed="23"/>
      <sz val="10"/>
    </font>
    <font>
      <name val="Arial Narrow"/>
      <family val="2"/>
      <color theme="1"/>
      <sz val="20"/>
    </font>
    <font>
      <name val="Arial Narrow"/>
      <family val="2"/>
      <b val="1"/>
      <color theme="1"/>
      <sz val="10"/>
    </font>
    <font>
      <name val="Arial Narrow"/>
      <family val="2"/>
      <color theme="10"/>
      <sz val="10"/>
      <u val="single"/>
    </font>
    <font>
      <name val="Arial Narrow"/>
      <family val="2"/>
      <b val="1"/>
      <color rgb="FF0000FF"/>
      <sz val="10"/>
    </font>
    <font>
      <name val="Arial Narrow"/>
      <family val="2"/>
      <b val="1"/>
      <i val="1"/>
      <color rgb="FFFF0000"/>
      <sz val="10"/>
    </font>
    <font>
      <name val="Segoe UI"/>
      <family val="2"/>
      <color indexed="81"/>
      <sz val="9"/>
    </font>
  </fonts>
  <fills count="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/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/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999999"/>
      </left>
      <right style="medium">
        <color rgb="FF999999"/>
      </right>
      <top/>
      <bottom style="medium">
        <color rgb="FF999999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 style="medium">
        <color rgb="FF999999"/>
      </left>
      <right/>
      <top style="medium">
        <color rgb="FF999999"/>
      </top>
      <bottom/>
      <diagonal/>
    </border>
    <border>
      <left/>
      <right/>
      <top style="medium">
        <color rgb="FF999999"/>
      </top>
      <bottom/>
      <diagonal/>
    </border>
    <border>
      <left/>
      <right style="medium">
        <color rgb="FF999999"/>
      </right>
      <top style="medium">
        <color rgb="FF999999"/>
      </top>
      <bottom/>
      <diagonal/>
    </border>
    <border>
      <left style="medium">
        <color rgb="FF999999"/>
      </left>
      <right/>
      <top/>
      <bottom style="medium">
        <color rgb="FF999999"/>
      </bottom>
      <diagonal/>
    </border>
    <border>
      <left/>
      <right/>
      <top/>
      <bottom style="medium">
        <color rgb="FF999999"/>
      </bottom>
      <diagonal/>
    </border>
    <border>
      <left/>
      <right style="medium">
        <color rgb="FF999999"/>
      </right>
      <top/>
      <bottom style="medium">
        <color rgb="FF999999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999999"/>
      </left>
      <right style="medium">
        <color rgb="FF999999"/>
      </right>
      <top/>
      <bottom/>
      <diagonal/>
    </border>
    <border>
      <left style="medium">
        <color rgb="FF999999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rgb="FF999999"/>
      </right>
      <top/>
      <bottom/>
      <diagonal/>
    </border>
  </borders>
  <cellStyleXfs count="3">
    <xf numFmtId="0" fontId="1" fillId="0" borderId="0"/>
    <xf numFmtId="9" fontId="1" fillId="0" borderId="0"/>
    <xf numFmtId="0" fontId="2" fillId="0" borderId="0"/>
  </cellStyleXfs>
  <cellXfs count="165">
    <xf numFmtId="0" fontId="0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10" fontId="3" fillId="4" borderId="1" applyAlignment="1" pivotButton="0" quotePrefix="0" xfId="1">
      <alignment horizontal="center" vertical="center"/>
    </xf>
    <xf numFmtId="0" fontId="3" fillId="2" borderId="1" applyAlignment="1" applyProtection="1" pivotButton="0" quotePrefix="0" xfId="0">
      <alignment horizontal="center" vertical="center"/>
      <protection locked="0" hidden="0"/>
    </xf>
    <xf numFmtId="0" fontId="9" fillId="0" borderId="0" applyAlignment="1" pivotButton="0" quotePrefix="0" xfId="0">
      <alignment horizontal="center" vertical="center"/>
    </xf>
    <xf numFmtId="10" fontId="3" fillId="4" borderId="2" applyAlignment="1" pivotButton="0" quotePrefix="0" xfId="1">
      <alignment horizontal="center" vertical="center"/>
    </xf>
    <xf numFmtId="0" fontId="9" fillId="4" borderId="17" applyAlignment="1" pivotButton="0" quotePrefix="0" xfId="0">
      <alignment vertical="center"/>
    </xf>
    <xf numFmtId="10" fontId="9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64" fontId="10" fillId="6" borderId="16" applyAlignment="1" applyProtection="1" pivotButton="0" quotePrefix="0" xfId="2">
      <alignment horizontal="center" vertical="center"/>
      <protection locked="0" hidden="0"/>
    </xf>
    <xf numFmtId="0" fontId="9" fillId="4" borderId="30" applyAlignment="1" pivotButton="0" quotePrefix="0" xfId="0">
      <alignment vertical="center"/>
    </xf>
    <xf numFmtId="0" fontId="9" fillId="4" borderId="24" applyAlignment="1" pivotButton="0" quotePrefix="0" xfId="0">
      <alignment vertical="center"/>
    </xf>
    <xf numFmtId="0" fontId="3" fillId="8" borderId="27" applyAlignment="1" pivotButton="0" quotePrefix="0" xfId="0">
      <alignment horizontal="left" vertical="center"/>
    </xf>
    <xf numFmtId="10" fontId="9" fillId="2" borderId="28" applyAlignment="1" pivotButton="0" quotePrefix="0" xfId="0">
      <alignment horizontal="center" vertical="center"/>
    </xf>
    <xf numFmtId="0" fontId="9" fillId="7" borderId="28" applyAlignment="1" pivotButton="0" quotePrefix="0" xfId="0">
      <alignment horizontal="center" vertical="center"/>
    </xf>
    <xf numFmtId="10" fontId="9" fillId="7" borderId="29" applyAlignment="1" pivotButton="0" quotePrefix="0" xfId="1">
      <alignment horizontal="center" vertical="center"/>
    </xf>
    <xf numFmtId="0" fontId="9" fillId="4" borderId="2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5" fillId="0" borderId="12" applyAlignment="1" pivotButton="0" quotePrefix="0" xfId="0">
      <alignment horizontal="center" vertical="center" wrapText="1"/>
    </xf>
    <xf numFmtId="0" fontId="9" fillId="4" borderId="35" applyAlignment="1" pivotButton="0" quotePrefix="0" xfId="0">
      <alignment horizontal="center" vertical="center"/>
    </xf>
    <xf numFmtId="0" fontId="9" fillId="0" borderId="23" applyAlignment="1" pivotButton="0" quotePrefix="0" xfId="0">
      <alignment horizontal="center" vertical="center"/>
    </xf>
    <xf numFmtId="0" fontId="9" fillId="0" borderId="22" applyAlignment="1" pivotButton="0" quotePrefix="0" xfId="0">
      <alignment horizontal="center" vertical="center"/>
    </xf>
    <xf numFmtId="0" fontId="9" fillId="4" borderId="33" applyAlignment="1" pivotButton="0" quotePrefix="0" xfId="0">
      <alignment horizontal="center" vertical="center"/>
    </xf>
    <xf numFmtId="14" fontId="5" fillId="0" borderId="7" applyAlignment="1" pivotButton="0" quotePrefix="0" xfId="0">
      <alignment horizontal="center" vertical="center" wrapText="1"/>
    </xf>
    <xf numFmtId="0" fontId="6" fillId="0" borderId="37" applyAlignment="1" pivotButton="0" quotePrefix="0" xfId="0">
      <alignment horizontal="center" vertical="center" wrapText="1"/>
    </xf>
    <xf numFmtId="0" fontId="9" fillId="4" borderId="2" applyAlignment="1" pivotButton="0" quotePrefix="0" xfId="0">
      <alignment vertical="center"/>
    </xf>
    <xf numFmtId="0" fontId="9" fillId="4" borderId="3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0" fontId="5" fillId="0" borderId="1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/>
    </xf>
    <xf numFmtId="0" fontId="3" fillId="0" borderId="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49" fontId="3" fillId="2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 wrapText="1"/>
    </xf>
    <xf numFmtId="0" fontId="3" fillId="0" borderId="3" applyAlignment="1" pivotButton="0" quotePrefix="0" xfId="0">
      <alignment horizontal="left" vertical="center" wrapText="1"/>
    </xf>
    <xf numFmtId="0" fontId="3" fillId="0" borderId="4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/>
    </xf>
    <xf numFmtId="0" fontId="9" fillId="5" borderId="3" applyAlignment="1" pivotButton="0" quotePrefix="0" xfId="0">
      <alignment horizontal="left" vertical="center"/>
    </xf>
    <xf numFmtId="0" fontId="9" fillId="5" borderId="4" applyAlignment="1" pivotButton="0" quotePrefix="0" xfId="0">
      <alignment horizontal="left" vertical="center"/>
    </xf>
    <xf numFmtId="0" fontId="3" fillId="2" borderId="2" applyAlignment="1" applyProtection="1" pivotButton="0" quotePrefix="0" xfId="0">
      <alignment horizontal="center" vertical="center"/>
      <protection locked="0" hidden="0"/>
    </xf>
    <xf numFmtId="0" fontId="3" fillId="2" borderId="4" applyAlignment="1" applyProtection="1" pivotButton="0" quotePrefix="0" xfId="0">
      <alignment horizontal="center" vertical="center"/>
      <protection locked="0" hidden="0"/>
    </xf>
    <xf numFmtId="0" fontId="3" fillId="5" borderId="2" applyAlignment="1" pivotButton="0" quotePrefix="0" xfId="0">
      <alignment horizontal="center" vertical="center"/>
    </xf>
    <xf numFmtId="0" fontId="3" fillId="5" borderId="3" applyAlignment="1" pivotButton="0" quotePrefix="0" xfId="0">
      <alignment horizontal="center" vertical="center"/>
    </xf>
    <xf numFmtId="0" fontId="3" fillId="5" borderId="4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10" fontId="9" fillId="4" borderId="2" applyAlignment="1" pivotButton="0" quotePrefix="0" xfId="1">
      <alignment horizontal="center" vertical="center"/>
    </xf>
    <xf numFmtId="10" fontId="9" fillId="4" borderId="3" applyAlignment="1" pivotButton="0" quotePrefix="0" xfId="1">
      <alignment horizontal="center" vertical="center"/>
    </xf>
    <xf numFmtId="10" fontId="9" fillId="4" borderId="4" applyAlignment="1" pivotButton="0" quotePrefix="0" xfId="1">
      <alignment horizontal="center" vertical="center"/>
    </xf>
    <xf numFmtId="0" fontId="3" fillId="8" borderId="22" applyAlignment="1" pivotButton="0" quotePrefix="0" xfId="0">
      <alignment horizontal="right" vertical="center"/>
    </xf>
    <xf numFmtId="0" fontId="3" fillId="8" borderId="1" applyAlignment="1" pivotButton="0" quotePrefix="0" xfId="0">
      <alignment horizontal="right" vertical="center"/>
    </xf>
    <xf numFmtId="14" fontId="3" fillId="0" borderId="2" applyAlignment="1" pivotButton="0" quotePrefix="0" xfId="0">
      <alignment horizontal="center" vertical="center"/>
    </xf>
    <xf numFmtId="14" fontId="3" fillId="0" borderId="3" applyAlignment="1" pivotButton="0" quotePrefix="0" xfId="0">
      <alignment horizontal="center" vertical="center"/>
    </xf>
    <xf numFmtId="14" fontId="3" fillId="0" borderId="4" applyAlignment="1" pivotButton="0" quotePrefix="0" xfId="0">
      <alignment horizontal="center" vertical="center"/>
    </xf>
    <xf numFmtId="0" fontId="3" fillId="0" borderId="2" applyAlignment="1" applyProtection="1" pivotButton="0" quotePrefix="0" xfId="0">
      <alignment horizontal="center" vertical="center"/>
      <protection locked="0" hidden="0"/>
    </xf>
    <xf numFmtId="0" fontId="3" fillId="0" borderId="3" applyAlignment="1" applyProtection="1" pivotButton="0" quotePrefix="0" xfId="0">
      <alignment horizontal="center" vertical="center"/>
      <protection locked="0" hidden="0"/>
    </xf>
    <xf numFmtId="0" fontId="3" fillId="0" borderId="4" applyAlignment="1" applyProtection="1" pivotButton="0" quotePrefix="0" xfId="0">
      <alignment horizontal="center" vertical="center"/>
      <protection locked="0" hidden="0"/>
    </xf>
    <xf numFmtId="0" fontId="9" fillId="2" borderId="2" applyAlignment="1" pivotButton="0" quotePrefix="0" xfId="0">
      <alignment horizontal="center" vertical="center"/>
    </xf>
    <xf numFmtId="0" fontId="9" fillId="2" borderId="3" applyAlignment="1" pivotButton="0" quotePrefix="0" xfId="0">
      <alignment horizontal="center" vertical="center"/>
    </xf>
    <xf numFmtId="0" fontId="9" fillId="2" borderId="4" applyAlignment="1" pivotButton="0" quotePrefix="0" xfId="0">
      <alignment horizontal="center" vertical="center"/>
    </xf>
    <xf numFmtId="0" fontId="9" fillId="4" borderId="2" applyAlignment="1" pivotButton="0" quotePrefix="0" xfId="0">
      <alignment vertical="center"/>
    </xf>
    <xf numFmtId="0" fontId="9" fillId="4" borderId="3" applyAlignment="1" pivotButton="0" quotePrefix="0" xfId="0">
      <alignment vertical="center"/>
    </xf>
    <xf numFmtId="0" fontId="9" fillId="4" borderId="4" applyAlignment="1" pivotButton="0" quotePrefix="0" xfId="0">
      <alignment vertical="center"/>
    </xf>
    <xf numFmtId="10" fontId="3" fillId="4" borderId="2" applyAlignment="1" pivotButton="0" quotePrefix="0" xfId="1">
      <alignment horizontal="center" vertical="center"/>
    </xf>
    <xf numFmtId="10" fontId="3" fillId="4" borderId="3" applyAlignment="1" pivotButton="0" quotePrefix="0" xfId="1">
      <alignment horizontal="center" vertical="center"/>
    </xf>
    <xf numFmtId="10" fontId="3" fillId="4" borderId="4" applyAlignment="1" pivotButton="0" quotePrefix="0" xfId="1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8" fillId="0" borderId="17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9" fillId="5" borderId="25" applyAlignment="1" pivotButton="0" quotePrefix="0" xfId="0">
      <alignment horizontal="center" vertical="center"/>
    </xf>
    <xf numFmtId="0" fontId="9" fillId="5" borderId="20" applyAlignment="1" pivotButton="0" quotePrefix="0" xfId="0">
      <alignment horizontal="center" vertical="center"/>
    </xf>
    <xf numFmtId="0" fontId="9" fillId="5" borderId="21" applyAlignment="1" pivotButton="0" quotePrefix="0" xfId="0">
      <alignment horizontal="center" vertical="center"/>
    </xf>
    <xf numFmtId="14" fontId="9" fillId="4" borderId="20" applyAlignment="1" pivotButton="0" quotePrefix="0" xfId="0">
      <alignment horizontal="center" vertical="center"/>
    </xf>
    <xf numFmtId="0" fontId="9" fillId="4" borderId="34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0" fontId="11" fillId="0" borderId="10" applyAlignment="1" pivotButton="0" quotePrefix="0" xfId="0">
      <alignment horizontal="center" vertical="center" wrapText="1"/>
    </xf>
    <xf numFmtId="0" fontId="11" fillId="0" borderId="11" applyAlignment="1" pivotButton="0" quotePrefix="0" xfId="0">
      <alignment horizontal="center" vertical="center" wrapText="1"/>
    </xf>
    <xf numFmtId="0" fontId="11" fillId="0" borderId="12" applyAlignment="1" pivotButton="0" quotePrefix="0" xfId="0">
      <alignment horizontal="center" vertical="center" wrapText="1"/>
    </xf>
    <xf numFmtId="0" fontId="11" fillId="0" borderId="13" applyAlignment="1" pivotButton="0" quotePrefix="0" xfId="0">
      <alignment horizontal="center" vertical="center" wrapText="1"/>
    </xf>
    <xf numFmtId="0" fontId="11" fillId="0" borderId="14" applyAlignment="1" pivotButton="0" quotePrefix="0" xfId="0">
      <alignment horizontal="center" vertical="center" wrapText="1"/>
    </xf>
    <xf numFmtId="0" fontId="11" fillId="0" borderId="15" applyAlignment="1" pivotButton="0" quotePrefix="0" xfId="0">
      <alignment horizontal="center" vertical="center" wrapText="1"/>
    </xf>
    <xf numFmtId="0" fontId="5" fillId="0" borderId="13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 wrapText="1"/>
    </xf>
    <xf numFmtId="0" fontId="12" fillId="0" borderId="26" applyAlignment="1" pivotButton="0" quotePrefix="0" xfId="0">
      <alignment horizontal="center" vertical="center"/>
    </xf>
    <xf numFmtId="0" fontId="12" fillId="0" borderId="36" applyAlignment="1" pivotButton="0" quotePrefix="0" xfId="0">
      <alignment horizontal="center" vertical="center"/>
    </xf>
    <xf numFmtId="0" fontId="3" fillId="8" borderId="23" applyAlignment="1" pivotButton="0" quotePrefix="0" xfId="0">
      <alignment horizontal="right" vertical="center"/>
    </xf>
    <xf numFmtId="0" fontId="3" fillId="8" borderId="28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9" fillId="3" borderId="26" applyAlignment="1" pivotButton="0" quotePrefix="0" xfId="0">
      <alignment vertical="center"/>
    </xf>
    <xf numFmtId="0" fontId="9" fillId="3" borderId="31" applyAlignment="1" pivotButton="0" quotePrefix="0" xfId="0">
      <alignment vertical="center"/>
    </xf>
    <xf numFmtId="0" fontId="9" fillId="3" borderId="32" applyAlignment="1" pivotButton="0" quotePrefix="0" xfId="0">
      <alignment vertical="center"/>
    </xf>
    <xf numFmtId="0" fontId="12" fillId="0" borderId="31" applyAlignment="1" pivotButton="0" quotePrefix="0" xfId="0">
      <alignment horizontal="center" vertical="center"/>
    </xf>
    <xf numFmtId="0" fontId="12" fillId="0" borderId="32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9" applyAlignment="1" pivotButton="0" quotePrefix="0" xfId="0">
      <alignment horizontal="left" vertical="center"/>
    </xf>
    <xf numFmtId="0" fontId="9" fillId="4" borderId="2" applyAlignment="1" pivotButton="0" quotePrefix="0" xfId="0">
      <alignment horizontal="left" vertical="center"/>
    </xf>
    <xf numFmtId="0" fontId="9" fillId="4" borderId="3" applyAlignment="1" pivotButton="0" quotePrefix="0" xfId="0">
      <alignment horizontal="left" vertical="center"/>
    </xf>
    <xf numFmtId="0" fontId="9" fillId="4" borderId="4" applyAlignment="1" pivotButton="0" quotePrefix="0" xfId="0">
      <alignment horizontal="left" vertical="center"/>
    </xf>
    <xf numFmtId="0" fontId="9" fillId="4" borderId="2" applyAlignment="1" pivotButton="0" quotePrefix="0" xfId="0">
      <alignment horizontal="center" vertical="center"/>
    </xf>
    <xf numFmtId="0" fontId="9" fillId="4" borderId="3" applyAlignment="1" pivotButton="0" quotePrefix="0" xfId="0">
      <alignment horizontal="center" vertical="center"/>
    </xf>
    <xf numFmtId="0" fontId="9" fillId="4" borderId="4" applyAlignment="1" pivotButton="0" quotePrefix="0" xfId="0">
      <alignment horizontal="center" vertical="center"/>
    </xf>
    <xf numFmtId="14" fontId="6" fillId="0" borderId="5" applyAlignment="1" pivotButton="0" quotePrefix="0" xfId="0">
      <alignment horizontal="center" vertical="center" wrapText="1"/>
    </xf>
    <xf numFmtId="14" fontId="6" fillId="0" borderId="38" applyAlignment="1" pivotButton="0" quotePrefix="0" xfId="0">
      <alignment horizontal="center" vertical="center" wrapText="1"/>
    </xf>
    <xf numFmtId="14" fontId="6" fillId="0" borderId="8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center" vertical="center" wrapText="1"/>
    </xf>
    <xf numFmtId="0" fontId="6" fillId="0" borderId="38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center" wrapText="1"/>
    </xf>
    <xf numFmtId="0" fontId="5" fillId="0" borderId="37" applyAlignment="1" pivotButton="0" quotePrefix="0" xfId="0">
      <alignment horizontal="center" vertical="center" wrapText="1"/>
    </xf>
    <xf numFmtId="0" fontId="6" fillId="0" borderId="37" applyAlignment="1" pivotButton="0" quotePrefix="0" xfId="0">
      <alignment horizontal="center" vertical="center" wrapText="1"/>
    </xf>
    <xf numFmtId="0" fontId="6" fillId="0" borderId="9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center" vertical="center" wrapText="1"/>
    </xf>
    <xf numFmtId="14" fontId="6" fillId="0" borderId="37" applyAlignment="1" pivotButton="0" quotePrefix="0" xfId="0">
      <alignment horizontal="center" vertical="center" wrapText="1"/>
    </xf>
    <xf numFmtId="0" fontId="0" fillId="0" borderId="11" pivotButton="0" quotePrefix="0" xfId="0"/>
    <xf numFmtId="0" fontId="11" fillId="0" borderId="37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38" pivotButton="0" quotePrefix="0" xfId="0"/>
    <xf numFmtId="0" fontId="0" fillId="0" borderId="14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7" fillId="0" borderId="37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9" fillId="3" borderId="28" applyAlignment="1" pivotButton="0" quotePrefix="0" xfId="0">
      <alignment vertical="center"/>
    </xf>
    <xf numFmtId="0" fontId="0" fillId="0" borderId="31" pivotButton="0" quotePrefix="0" xfId="0"/>
    <xf numFmtId="0" fontId="0" fillId="0" borderId="32" pivotButton="0" quotePrefix="0" xfId="0"/>
    <xf numFmtId="0" fontId="9" fillId="5" borderId="40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14" fontId="9" fillId="4" borderId="34" applyAlignment="1" pivotButton="0" quotePrefix="0" xfId="0">
      <alignment horizontal="center" vertical="center"/>
    </xf>
    <xf numFmtId="0" fontId="0" fillId="0" borderId="34" pivotButton="0" quotePrefix="0" xfId="0"/>
    <xf numFmtId="14" fontId="3" fillId="0" borderId="1" applyAlignment="1" pivotButton="0" quotePrefix="0" xfId="0">
      <alignment horizontal="center" vertical="center"/>
    </xf>
    <xf numFmtId="0" fontId="12" fillId="0" borderId="29" applyAlignment="1" pivotButton="0" quotePrefix="0" xfId="0">
      <alignment horizontal="center" vertical="center"/>
    </xf>
    <xf numFmtId="0" fontId="0" fillId="0" borderId="36" pivotButton="0" quotePrefix="0" xfId="0"/>
    <xf numFmtId="10" fontId="9" fillId="4" borderId="1" applyAlignment="1" pivotButton="0" quotePrefix="0" xfId="1">
      <alignment horizontal="center" vertical="center"/>
    </xf>
    <xf numFmtId="0" fontId="3" fillId="0" borderId="1" applyAlignment="1" applyProtection="1" pivotButton="0" quotePrefix="0" xfId="0">
      <alignment horizontal="center" vertic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9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49" fontId="3" fillId="2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</cellXfs>
  <cellStyles count="3">
    <cellStyle name="Normal" xfId="0" builtinId="0"/>
    <cellStyle name="Porcentagem" xfId="1" builtinId="5"/>
    <cellStyle name="Hiperlink" xfId="2" builtinId="8"/>
  </cellStyles>
  <dxfs count="37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6" tint="0.3999450666829432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33618</xdr:colOff>
      <xdr:row>1</xdr:row>
      <xdr:rowOff>22412</xdr:rowOff>
    </xdr:from>
    <xdr:to>
      <xdr:col>1</xdr:col>
      <xdr:colOff>735410</xdr:colOff>
      <xdr:row>3</xdr:row>
      <xdr:rowOff>246530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C6DF18B-D389-4044-930A-AD9970BF30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677" y="190500"/>
          <a:ext cx="701792" cy="5827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146"/>
  <sheetViews>
    <sheetView showGridLines="0" tabSelected="1" zoomScale="85" zoomScaleNormal="85" workbookViewId="0"/>
  </sheetViews>
  <sheetFormatPr baseColWidth="8" defaultRowHeight="12.75"/>
  <cols>
    <col width="1.7109375" customWidth="1" style="1" min="1" max="1"/>
    <col width="12.42578125" customWidth="1" style="1" min="2" max="2"/>
    <col width="8.85546875" customWidth="1" style="1" min="3" max="3"/>
    <col width="9.5703125" customWidth="1" style="1" min="4" max="4"/>
    <col width="13.5703125" customWidth="1" style="1" min="5" max="5"/>
    <col width="11.7109375" customWidth="1" style="1" min="6" max="6"/>
    <col width="10.28515625" customWidth="1" style="1" min="7" max="7"/>
    <col width="10.7109375" customWidth="1" style="1" min="8" max="8"/>
    <col width="13.28515625" customWidth="1" style="1" min="9" max="10"/>
    <col width="20.28515625" customWidth="1" style="1" min="11" max="11"/>
    <col hidden="1" width="3.5703125" customWidth="1" style="2" min="12" max="12"/>
    <col width="1.7109375" customWidth="1" style="32" min="13" max="13"/>
    <col width="9.140625" customWidth="1" style="1" min="14" max="16384"/>
  </cols>
  <sheetData>
    <row r="1" ht="13.5" customHeight="1" thickBot="1"/>
    <row r="2">
      <c r="B2" s="127" t="n"/>
      <c r="C2" s="23" t="inlineStr">
        <is>
          <t>Setor:</t>
        </is>
      </c>
      <c r="D2" s="83" t="inlineStr">
        <is>
          <t>Código:</t>
        </is>
      </c>
      <c r="E2" s="128" t="n"/>
      <c r="F2" s="129" t="inlineStr">
        <is>
          <t>MODELO CHECK LIST TAREFA</t>
        </is>
      </c>
      <c r="G2" s="128" t="n"/>
      <c r="H2" s="128" t="n"/>
      <c r="I2" s="128" t="n"/>
      <c r="J2" s="130" t="n"/>
      <c r="K2" s="123" t="inlineStr">
        <is>
          <t>Página 1/1</t>
        </is>
      </c>
    </row>
    <row r="3" ht="15.75" customHeight="1" thickBot="1">
      <c r="B3" s="131" t="n"/>
      <c r="C3" s="33" t="n"/>
      <c r="D3" s="91" t="n"/>
      <c r="E3" s="132" t="n"/>
      <c r="F3" s="133" t="n"/>
      <c r="G3" s="132" t="n"/>
      <c r="H3" s="132" t="n"/>
      <c r="I3" s="132" t="n"/>
      <c r="J3" s="134" t="n"/>
      <c r="K3" s="131" t="n"/>
    </row>
    <row r="4" ht="25.5" customHeight="1" thickBot="1">
      <c r="B4" s="135" t="n"/>
      <c r="C4" s="122" t="inlineStr">
        <is>
          <t>Data Emissão</t>
        </is>
      </c>
      <c r="D4" s="136" t="n"/>
      <c r="E4" s="137" t="n"/>
      <c r="F4" s="28" t="n"/>
      <c r="G4" s="138" t="inlineStr">
        <is>
          <t>Data Revisão</t>
        </is>
      </c>
      <c r="H4" s="137" t="n"/>
      <c r="I4" s="28" t="inlineStr">
        <is>
          <t>XX/XX/XXXX</t>
        </is>
      </c>
      <c r="J4" s="123" t="inlineStr">
        <is>
          <t>Versão: 00</t>
        </is>
      </c>
      <c r="K4" s="135" t="n"/>
    </row>
    <row r="5" ht="6" customHeight="1" thickBot="1"/>
    <row r="6" hidden="1" ht="25.5" customHeight="1">
      <c r="B6" s="139" t="n"/>
      <c r="C6" s="140" t="n"/>
      <c r="D6" s="140" t="n"/>
      <c r="E6" s="140" t="n"/>
      <c r="F6" s="140" t="n"/>
      <c r="G6" s="140" t="n"/>
      <c r="H6" s="140" t="n"/>
      <c r="I6" s="140" t="n"/>
      <c r="J6" s="140" t="n"/>
      <c r="K6" s="141" t="n"/>
    </row>
    <row r="7" ht="15.95" customHeight="1" thickBot="1">
      <c r="B7" s="142" t="inlineStr">
        <is>
          <t>1 - Coeficiente de Conformidade</t>
        </is>
      </c>
      <c r="C7" s="143" t="n"/>
      <c r="D7" s="143" t="n"/>
      <c r="E7" s="144" t="n"/>
      <c r="F7" s="14">
        <f>AVERAGE(F15,F20,F25,F30,F35,F48,F66)</f>
        <v/>
      </c>
      <c r="G7" s="145" t="inlineStr">
        <is>
          <t>Resumo de Inspeção</t>
        </is>
      </c>
      <c r="H7" s="146" t="n"/>
      <c r="I7" s="146" t="n"/>
      <c r="J7" s="146" t="n"/>
      <c r="K7" s="147" t="n"/>
    </row>
    <row r="8" ht="15.95" customHeight="1">
      <c r="B8" s="27" t="inlineStr">
        <is>
          <t>Gerenc. Prazo:</t>
        </is>
      </c>
      <c r="C8" s="148">
        <f>TODAY()</f>
        <v/>
      </c>
      <c r="D8" s="149" t="n"/>
      <c r="E8" s="24">
        <f>IF(F8&gt;30,"EM DIA",
 IF(AND(F8&lt;=30,F8&gt;15),"IMPORTANTE",
  IF(AND(F8&lt;=15,F8&gt;7),"PRIORIDADE",
   IF(AND(F8&lt;=7,F8&gt;=0),"URGENTE",
    IF(AND(F8&lt;0,F8&gt;=-30),"EM ATRASO","")))))</f>
        <v/>
      </c>
      <c r="F8" s="21">
        <f>C11-C8</f>
        <v/>
      </c>
      <c r="G8" s="15" t="n"/>
      <c r="H8" s="8" t="n"/>
      <c r="I8" s="8" t="n"/>
      <c r="J8" s="8" t="n"/>
      <c r="K8" s="16" t="n"/>
    </row>
    <row r="9" ht="16.5" customHeight="1">
      <c r="B9" s="26" t="inlineStr">
        <is>
          <t>Data Ação:</t>
        </is>
      </c>
      <c r="C9" s="150" t="n"/>
      <c r="D9" s="140" t="n"/>
      <c r="E9" s="141" t="n"/>
      <c r="F9" s="22">
        <f>C9-C8</f>
        <v/>
      </c>
      <c r="G9" s="57" t="inlineStr">
        <is>
          <t>1 | XXX</t>
        </is>
      </c>
      <c r="H9" s="141" t="n"/>
      <c r="I9" s="9">
        <f>G15</f>
        <v/>
      </c>
      <c r="J9" s="9">
        <f>G35</f>
        <v/>
      </c>
      <c r="K9" s="17" t="inlineStr">
        <is>
          <t>5 | XXX</t>
        </is>
      </c>
      <c r="M9" s="32" t="inlineStr">
        <is>
          <t>SIM</t>
        </is>
      </c>
    </row>
    <row r="10" ht="16.5" customHeight="1">
      <c r="B10" s="26" t="inlineStr">
        <is>
          <t>Data Meta:</t>
        </is>
      </c>
      <c r="C10" s="150">
        <f>C9+25</f>
        <v/>
      </c>
      <c r="D10" s="140" t="n"/>
      <c r="E10" s="141" t="n"/>
      <c r="F10" s="22">
        <f>C10-C8</f>
        <v/>
      </c>
      <c r="G10" s="57" t="inlineStr">
        <is>
          <t>2 | XXX</t>
        </is>
      </c>
      <c r="H10" s="141" t="n"/>
      <c r="I10" s="9">
        <f>G20</f>
        <v/>
      </c>
      <c r="J10" s="9">
        <f>G48</f>
        <v/>
      </c>
      <c r="K10" s="17" t="inlineStr">
        <is>
          <t>6 | XXX</t>
        </is>
      </c>
      <c r="M10" s="32" t="inlineStr">
        <is>
          <t>NÃO</t>
        </is>
      </c>
    </row>
    <row r="11" ht="16.5" customHeight="1">
      <c r="B11" s="26" t="inlineStr">
        <is>
          <t>Data Prazo:</t>
        </is>
      </c>
      <c r="C11" s="150">
        <f>C10+5</f>
        <v/>
      </c>
      <c r="D11" s="140" t="n"/>
      <c r="E11" s="141" t="n"/>
      <c r="F11" s="22">
        <f>C11-C8</f>
        <v/>
      </c>
      <c r="G11" s="57" t="inlineStr">
        <is>
          <t>3 | XXX</t>
        </is>
      </c>
      <c r="H11" s="141" t="n"/>
      <c r="I11" s="9">
        <f>G25</f>
        <v/>
      </c>
      <c r="J11" s="9">
        <f>G66</f>
        <v/>
      </c>
      <c r="K11" s="17" t="inlineStr">
        <is>
          <t>7 | XXX</t>
        </is>
      </c>
      <c r="M11" s="32" t="inlineStr">
        <is>
          <t>CONFORME</t>
        </is>
      </c>
    </row>
    <row r="12" ht="16.5" customHeight="1" thickBot="1">
      <c r="B12" s="25" t="inlineStr">
        <is>
          <t>Cliente:</t>
        </is>
      </c>
      <c r="C12" s="102" t="inlineStr">
        <is>
          <t>[CNPJ]</t>
        </is>
      </c>
      <c r="D12" s="144" t="n"/>
      <c r="E12" s="151" t="inlineStr">
        <is>
          <t>[NOME CLIENTE]</t>
        </is>
      </c>
      <c r="F12" s="152" t="n"/>
      <c r="G12" s="95" t="inlineStr">
        <is>
          <t>4 | XXX</t>
        </is>
      </c>
      <c r="H12" s="144" t="n"/>
      <c r="I12" s="18">
        <f>G30</f>
        <v/>
      </c>
      <c r="J12" s="19" t="inlineStr">
        <is>
          <t>Conclusão:</t>
        </is>
      </c>
      <c r="K12" s="20">
        <f>AVERAGE(I9:I12,J9:J11)</f>
        <v/>
      </c>
      <c r="M12" s="32" t="inlineStr">
        <is>
          <t>NÃO CONFORME</t>
        </is>
      </c>
    </row>
    <row r="13" ht="16.5" customHeight="1">
      <c r="B13" s="10" t="n"/>
      <c r="C13" s="10" t="n"/>
      <c r="D13" s="10" t="n"/>
      <c r="E13" s="10" t="n"/>
      <c r="F13" s="10" t="n"/>
      <c r="G13" s="11" t="n"/>
      <c r="H13" s="11" t="n"/>
      <c r="I13" s="12" t="n"/>
      <c r="J13" s="6" t="n"/>
      <c r="K13" s="13" t="n"/>
    </row>
    <row r="14" ht="15.95" customHeight="1">
      <c r="B14" s="52" t="inlineStr">
        <is>
          <t>1 | XXX</t>
        </is>
      </c>
      <c r="C14" s="140" t="n"/>
      <c r="D14" s="140" t="n"/>
      <c r="E14" s="140" t="n"/>
      <c r="F14" s="141" t="n"/>
      <c r="G14" s="53" t="inlineStr">
        <is>
          <t>SIM / NÃO</t>
        </is>
      </c>
      <c r="H14" s="53" t="n"/>
      <c r="I14" s="140" t="n"/>
      <c r="J14" s="140" t="n"/>
      <c r="K14" s="141" t="n"/>
    </row>
    <row r="15" ht="15.95" customHeight="1">
      <c r="B15" s="68" t="inlineStr">
        <is>
          <t>Coeficiente Parcial:</t>
        </is>
      </c>
      <c r="C15" s="69" t="n"/>
      <c r="D15" s="69" t="n"/>
      <c r="E15" s="69" t="n"/>
      <c r="F15" s="4">
        <f>AVERAGE(M16:M17)</f>
        <v/>
      </c>
      <c r="G15" s="4">
        <f>M18</f>
        <v/>
      </c>
      <c r="H15" s="153" t="n"/>
      <c r="I15" s="140" t="n"/>
      <c r="J15" s="140" t="n"/>
      <c r="K15" s="141" t="n"/>
    </row>
    <row r="16" ht="16.5" customHeight="1">
      <c r="B16" s="34" t="n"/>
      <c r="C16" s="140" t="n"/>
      <c r="D16" s="140" t="n"/>
      <c r="E16" s="140" t="n"/>
      <c r="F16" s="141" t="n"/>
      <c r="G16" s="5" t="n"/>
      <c r="H16" s="154" t="n"/>
      <c r="I16" s="155" t="n"/>
      <c r="J16" s="155" t="n"/>
      <c r="K16" s="156" t="n"/>
      <c r="L16" s="2">
        <f>IF(G16&gt;="SIM","100%","0%")</f>
        <v/>
      </c>
      <c r="M16" s="32">
        <f>AVERAGE(IF(G16&gt;="SIM","100%","0%"))</f>
        <v/>
      </c>
    </row>
    <row r="17" ht="16.5" customHeight="1">
      <c r="B17" s="34" t="n"/>
      <c r="C17" s="140" t="n"/>
      <c r="D17" s="140" t="n"/>
      <c r="E17" s="140" t="n"/>
      <c r="F17" s="141" t="n"/>
      <c r="G17" s="5" t="n"/>
      <c r="H17" s="154" t="n"/>
      <c r="I17" s="155" t="n"/>
      <c r="J17" s="155" t="n"/>
      <c r="K17" s="156" t="n"/>
      <c r="M17" s="32">
        <f>AVERAGE(IF(G17&gt;="SIM","100%","0%"))</f>
        <v/>
      </c>
    </row>
    <row r="18" ht="15.75" customHeight="1">
      <c r="B18" s="157" t="inlineStr">
        <is>
          <t>Parecer Inspeção:</t>
        </is>
      </c>
      <c r="C18" s="140" t="n"/>
      <c r="D18" s="140" t="n"/>
      <c r="E18" s="141" t="n"/>
      <c r="F18" s="5" t="inlineStr">
        <is>
          <t>NÃO CONFORME</t>
        </is>
      </c>
      <c r="G18" s="156" t="n"/>
      <c r="H18" s="158" t="n"/>
      <c r="I18" s="140" t="n"/>
      <c r="J18" s="140" t="n"/>
      <c r="K18" s="141" t="n"/>
      <c r="M18" s="32">
        <f>AVERAGE(IF(F18&gt;="NÃO CONFORME","0%","100%"))</f>
        <v/>
      </c>
    </row>
    <row r="19" ht="15.95" customHeight="1">
      <c r="B19" s="52" t="inlineStr">
        <is>
          <t>2 | XXX</t>
        </is>
      </c>
      <c r="C19" s="140" t="n"/>
      <c r="D19" s="140" t="n"/>
      <c r="E19" s="140" t="n"/>
      <c r="F19" s="141" t="n"/>
      <c r="G19" s="53" t="inlineStr">
        <is>
          <t>SIM / NÃO</t>
        </is>
      </c>
      <c r="H19" s="53" t="n"/>
      <c r="I19" s="140" t="n"/>
      <c r="J19" s="140" t="n"/>
      <c r="K19" s="141" t="n"/>
    </row>
    <row r="20" ht="15.95" customHeight="1">
      <c r="B20" s="159" t="inlineStr">
        <is>
          <t>Coeficiente Parcial:</t>
        </is>
      </c>
      <c r="C20" s="140" t="n"/>
      <c r="D20" s="140" t="n"/>
      <c r="E20" s="141" t="n"/>
      <c r="F20" s="4">
        <f>AVERAGE(M21,M22)</f>
        <v/>
      </c>
      <c r="G20" s="4">
        <f>M23</f>
        <v/>
      </c>
      <c r="H20" s="4" t="n"/>
      <c r="I20" s="140" t="n"/>
      <c r="J20" s="140" t="n"/>
      <c r="K20" s="141" t="n"/>
    </row>
    <row r="21" ht="15.95" customHeight="1">
      <c r="B21" s="34" t="n"/>
      <c r="C21" s="140" t="n"/>
      <c r="D21" s="140" t="n"/>
      <c r="E21" s="140" t="n"/>
      <c r="F21" s="141" t="n"/>
      <c r="G21" s="5" t="n"/>
      <c r="H21" s="160" t="n"/>
      <c r="I21" s="140" t="n"/>
      <c r="J21" s="140" t="n"/>
      <c r="K21" s="141" t="n"/>
      <c r="L21" s="2">
        <f>IF(G21&gt;="SIM","100%","0%")</f>
        <v/>
      </c>
      <c r="M21" s="32">
        <f>AVERAGE(IF(G21&gt;="SIM","100%","0%"))</f>
        <v/>
      </c>
    </row>
    <row r="22" ht="15.95" customHeight="1">
      <c r="B22" s="34" t="n"/>
      <c r="C22" s="140" t="n"/>
      <c r="D22" s="140" t="n"/>
      <c r="E22" s="140" t="n"/>
      <c r="F22" s="141" t="n"/>
      <c r="G22" s="5" t="n"/>
      <c r="H22" s="160" t="n"/>
      <c r="I22" s="140" t="n"/>
      <c r="J22" s="140" t="n"/>
      <c r="K22" s="141" t="n"/>
      <c r="L22" s="2">
        <f>IF(G22&gt;="SIM","100%","0%")</f>
        <v/>
      </c>
      <c r="M22" s="32">
        <f>AVERAGE(IF(G22&gt;="SIM","100%","0%"))</f>
        <v/>
      </c>
    </row>
    <row r="23" ht="15.75" customHeight="1">
      <c r="B23" s="157" t="inlineStr">
        <is>
          <t>Parecer Inspeção:</t>
        </is>
      </c>
      <c r="C23" s="140" t="n"/>
      <c r="D23" s="140" t="n"/>
      <c r="E23" s="141" t="n"/>
      <c r="F23" s="5" t="inlineStr">
        <is>
          <t>NÃO CONFORME</t>
        </is>
      </c>
      <c r="G23" s="156" t="n"/>
      <c r="H23" s="158" t="n"/>
      <c r="I23" s="140" t="n"/>
      <c r="J23" s="140" t="n"/>
      <c r="K23" s="141" t="n"/>
      <c r="M23" s="32">
        <f>AVERAGE(IF(F23&gt;="NÃO CONFORME","0%","100%"))</f>
        <v/>
      </c>
    </row>
    <row r="24" ht="15.95" customHeight="1">
      <c r="B24" s="52" t="inlineStr">
        <is>
          <t>3 | XXX</t>
        </is>
      </c>
      <c r="C24" s="140" t="n"/>
      <c r="D24" s="140" t="n"/>
      <c r="E24" s="140" t="n"/>
      <c r="F24" s="141" t="n"/>
      <c r="G24" s="53" t="inlineStr">
        <is>
          <t>SIM / NÃO</t>
        </is>
      </c>
      <c r="H24" s="53" t="n"/>
      <c r="I24" s="140" t="n"/>
      <c r="J24" s="140" t="n"/>
      <c r="K24" s="141" t="n"/>
      <c r="L24" s="2">
        <f>IF(G24&gt;="SIM","100%","0%")</f>
        <v/>
      </c>
    </row>
    <row r="25" ht="15.95" customHeight="1">
      <c r="B25" s="159" t="inlineStr">
        <is>
          <t>Coeficiente Parcial:</t>
        </is>
      </c>
      <c r="C25" s="140" t="n"/>
      <c r="D25" s="140" t="n"/>
      <c r="E25" s="141" t="n"/>
      <c r="F25" s="4">
        <f>AVERAGE(M26:M27)</f>
        <v/>
      </c>
      <c r="G25" s="4">
        <f>M28</f>
        <v/>
      </c>
      <c r="H25" s="4" t="n"/>
      <c r="I25" s="140" t="n"/>
      <c r="J25" s="140" t="n"/>
      <c r="K25" s="141" t="n"/>
      <c r="L25" s="2">
        <f>IF(G25&gt;="SIM","100%","0%")</f>
        <v/>
      </c>
    </row>
    <row r="26" ht="15.95" customHeight="1">
      <c r="B26" s="34" t="n"/>
      <c r="C26" s="140" t="n"/>
      <c r="D26" s="140" t="n"/>
      <c r="E26" s="140" t="n"/>
      <c r="F26" s="141" t="n"/>
      <c r="G26" s="5" t="n"/>
      <c r="H26" s="160" t="n"/>
      <c r="I26" s="140" t="n"/>
      <c r="J26" s="140" t="n"/>
      <c r="K26" s="141" t="n"/>
      <c r="M26" s="32">
        <f>AVERAGE(IF(G26&gt;="SIM","100%","0%"))</f>
        <v/>
      </c>
    </row>
    <row r="27" ht="15.95" customHeight="1">
      <c r="B27" s="34" t="n"/>
      <c r="C27" s="140" t="n"/>
      <c r="D27" s="140" t="n"/>
      <c r="E27" s="140" t="n"/>
      <c r="F27" s="141" t="n"/>
      <c r="G27" s="5" t="n"/>
      <c r="H27" s="160" t="n"/>
      <c r="I27" s="140" t="n"/>
      <c r="J27" s="140" t="n"/>
      <c r="K27" s="141" t="n"/>
      <c r="L27" s="2">
        <f>IF(G27&gt;="SIM","100%","0%")</f>
        <v/>
      </c>
      <c r="M27" s="32">
        <f>AVERAGE(IF(G27&gt;="SIM","100%","0%"))</f>
        <v/>
      </c>
    </row>
    <row r="28" ht="15.75" customHeight="1">
      <c r="B28" s="157" t="inlineStr">
        <is>
          <t>Parecer Inspeção:</t>
        </is>
      </c>
      <c r="C28" s="140" t="n"/>
      <c r="D28" s="140" t="n"/>
      <c r="E28" s="141" t="n"/>
      <c r="F28" s="5" t="inlineStr">
        <is>
          <t>NÃO CONFORME</t>
        </is>
      </c>
      <c r="G28" s="156" t="n"/>
      <c r="H28" s="158" t="n"/>
      <c r="I28" s="140" t="n"/>
      <c r="J28" s="140" t="n"/>
      <c r="K28" s="141" t="n"/>
      <c r="M28" s="32">
        <f>AVERAGE(IF(F28&gt;="NÃO CONFORME","0%","100%"))</f>
        <v/>
      </c>
    </row>
    <row r="29" ht="15.95" customHeight="1">
      <c r="B29" s="52" t="inlineStr">
        <is>
          <t>4 | XXX</t>
        </is>
      </c>
      <c r="C29" s="140" t="n"/>
      <c r="D29" s="140" t="n"/>
      <c r="E29" s="140" t="n"/>
      <c r="F29" s="141" t="n"/>
      <c r="G29" s="53" t="inlineStr">
        <is>
          <t>SIM / NÃO</t>
        </is>
      </c>
      <c r="H29" s="53" t="n"/>
      <c r="I29" s="140" t="n"/>
      <c r="J29" s="140" t="n"/>
      <c r="K29" s="141" t="n"/>
    </row>
    <row r="30" ht="15.95" customHeight="1">
      <c r="B30" s="161" t="inlineStr">
        <is>
          <t>Coeficiente Parcial:</t>
        </is>
      </c>
      <c r="C30" s="140" t="n"/>
      <c r="D30" s="140" t="n"/>
      <c r="E30" s="141" t="n"/>
      <c r="F30" s="4">
        <f>AVERAGE(M31:M32)</f>
        <v/>
      </c>
      <c r="G30" s="71">
        <f>M33</f>
        <v/>
      </c>
      <c r="H30" s="162" t="n"/>
      <c r="I30" s="140" t="n"/>
      <c r="J30" s="140" t="n"/>
      <c r="K30" s="141" t="n"/>
    </row>
    <row r="31" ht="15.95" customHeight="1">
      <c r="B31" s="34" t="n"/>
      <c r="C31" s="140" t="n"/>
      <c r="D31" s="140" t="n"/>
      <c r="E31" s="140" t="n"/>
      <c r="F31" s="141" t="n"/>
      <c r="G31" s="5" t="n"/>
      <c r="H31" s="160" t="n"/>
      <c r="I31" s="140" t="n"/>
      <c r="J31" s="140" t="n"/>
      <c r="K31" s="141" t="n"/>
      <c r="M31" s="32">
        <f>AVERAGE(IF(G31&gt;="SIM","100%","0%"))</f>
        <v/>
      </c>
    </row>
    <row r="32" ht="15.95" customHeight="1">
      <c r="B32" s="34" t="n"/>
      <c r="C32" s="140" t="n"/>
      <c r="D32" s="140" t="n"/>
      <c r="E32" s="140" t="n"/>
      <c r="F32" s="141" t="n"/>
      <c r="G32" s="5" t="n"/>
      <c r="H32" s="160" t="n"/>
      <c r="I32" s="140" t="n"/>
      <c r="J32" s="140" t="n"/>
      <c r="K32" s="141" t="n"/>
      <c r="L32" s="2">
        <f>IF(G32&gt;="SIM","100%","0%")</f>
        <v/>
      </c>
      <c r="M32" s="32">
        <f>AVERAGE(IF(G32&gt;="SIM","100%","0%"))</f>
        <v/>
      </c>
    </row>
    <row r="33" ht="15.75" customHeight="1">
      <c r="B33" s="157" t="inlineStr">
        <is>
          <t>Parecer Inspeção:</t>
        </is>
      </c>
      <c r="C33" s="140" t="n"/>
      <c r="D33" s="140" t="n"/>
      <c r="E33" s="141" t="n"/>
      <c r="F33" s="5" t="inlineStr">
        <is>
          <t>NÃO CONFORME</t>
        </is>
      </c>
      <c r="G33" s="156" t="n"/>
      <c r="H33" s="158" t="n"/>
      <c r="I33" s="140" t="n"/>
      <c r="J33" s="140" t="n"/>
      <c r="K33" s="141" t="n"/>
      <c r="M33" s="32">
        <f>AVERAGE(IF(F33&gt;="NÃO CONFORME","0%","100%"))</f>
        <v/>
      </c>
    </row>
    <row r="34" ht="15.95" customHeight="1">
      <c r="B34" s="52" t="inlineStr">
        <is>
          <t>5 | XXX</t>
        </is>
      </c>
      <c r="C34" s="140" t="n"/>
      <c r="D34" s="140" t="n"/>
      <c r="E34" s="140" t="n"/>
      <c r="F34" s="141" t="n"/>
      <c r="G34" s="53" t="inlineStr">
        <is>
          <t>SIM / NÃO</t>
        </is>
      </c>
      <c r="H34" s="53" t="n"/>
      <c r="I34" s="140" t="n"/>
      <c r="J34" s="140" t="n"/>
      <c r="K34" s="141" t="n"/>
    </row>
    <row r="35" ht="15.95" customHeight="1">
      <c r="B35" s="161" t="inlineStr">
        <is>
          <t>Coeficiente Parcial:</t>
        </is>
      </c>
      <c r="C35" s="140" t="n"/>
      <c r="D35" s="140" t="n"/>
      <c r="E35" s="141" t="n"/>
      <c r="F35" s="4">
        <f>AVERAGE(M36:M45)</f>
        <v/>
      </c>
      <c r="G35" s="71">
        <f>M46</f>
        <v/>
      </c>
      <c r="H35" s="162" t="n"/>
      <c r="I35" s="140" t="n"/>
      <c r="J35" s="140" t="n"/>
      <c r="K35" s="141" t="n"/>
    </row>
    <row r="36" ht="15.95" customHeight="1">
      <c r="B36" s="34" t="n"/>
      <c r="C36" s="140" t="n"/>
      <c r="D36" s="140" t="n"/>
      <c r="E36" s="140" t="n"/>
      <c r="F36" s="141" t="n"/>
      <c r="G36" s="5" t="n"/>
      <c r="H36" s="160" t="n"/>
      <c r="I36" s="140" t="n"/>
      <c r="J36" s="140" t="n"/>
      <c r="K36" s="141" t="n"/>
      <c r="M36" s="32">
        <f>AVERAGE(IF(G36&gt;="SIM","100%","0%"))</f>
        <v/>
      </c>
    </row>
    <row r="37" ht="15.95" customHeight="1">
      <c r="B37" s="34" t="n"/>
      <c r="C37" s="140" t="n"/>
      <c r="D37" s="140" t="n"/>
      <c r="E37" s="140" t="n"/>
      <c r="F37" s="141" t="n"/>
      <c r="G37" s="5" t="n"/>
      <c r="H37" s="160" t="n"/>
      <c r="I37" s="140" t="n"/>
      <c r="J37" s="140" t="n"/>
      <c r="K37" s="141" t="n"/>
      <c r="L37" s="2">
        <f>IF(G37&gt;="SIM","100%","0%")</f>
        <v/>
      </c>
      <c r="M37" s="32">
        <f>AVERAGE(IF(G37&gt;="SIM","100%","0%"))</f>
        <v/>
      </c>
    </row>
    <row r="38" hidden="1" ht="15.95" customHeight="1">
      <c r="B38" s="103" t="n"/>
      <c r="C38" s="140" t="n"/>
      <c r="D38" s="140" t="n"/>
      <c r="E38" s="140" t="n"/>
      <c r="F38" s="141" t="n"/>
      <c r="G38" s="5" t="n"/>
      <c r="H38" s="160" t="n"/>
      <c r="I38" s="140" t="n"/>
      <c r="J38" s="140" t="n"/>
      <c r="K38" s="141" t="n"/>
      <c r="L38" s="2">
        <f>IF(G38&gt;="SIM","100%","0%")</f>
        <v/>
      </c>
      <c r="M38" s="32">
        <f>AVERAGE(IF(G38&gt;="SIM","100%","0%"))</f>
        <v/>
      </c>
    </row>
    <row r="39" hidden="1" ht="15.95" customHeight="1">
      <c r="B39" s="103" t="n"/>
      <c r="C39" s="140" t="n"/>
      <c r="D39" s="140" t="n"/>
      <c r="E39" s="140" t="n"/>
      <c r="F39" s="141" t="n"/>
      <c r="G39" s="5" t="n"/>
      <c r="H39" s="160" t="n"/>
      <c r="I39" s="140" t="n"/>
      <c r="J39" s="140" t="n"/>
      <c r="K39" s="141" t="n"/>
      <c r="L39" s="2">
        <f>IF(G39&gt;="SIM","100%","0%")</f>
        <v/>
      </c>
      <c r="M39" s="32">
        <f>AVERAGE(IF(G39&gt;="SIM","100%","0%"))</f>
        <v/>
      </c>
    </row>
    <row r="40" hidden="1" ht="15.95" customHeight="1">
      <c r="B40" s="103" t="n"/>
      <c r="C40" s="140" t="n"/>
      <c r="D40" s="140" t="n"/>
      <c r="E40" s="140" t="n"/>
      <c r="F40" s="141" t="n"/>
      <c r="G40" s="5" t="n"/>
      <c r="H40" s="160" t="n"/>
      <c r="I40" s="140" t="n"/>
      <c r="J40" s="140" t="n"/>
      <c r="K40" s="141" t="n"/>
      <c r="M40" s="32">
        <f>AVERAGE(IF(G40&gt;="SIM","100%","0%"))</f>
        <v/>
      </c>
    </row>
    <row r="41" hidden="1" ht="15.95" customHeight="1">
      <c r="B41" s="103" t="n"/>
      <c r="C41" s="140" t="n"/>
      <c r="D41" s="140" t="n"/>
      <c r="E41" s="140" t="n"/>
      <c r="F41" s="141" t="n"/>
      <c r="G41" s="5" t="n"/>
      <c r="H41" s="160" t="n"/>
      <c r="I41" s="140" t="n"/>
      <c r="J41" s="140" t="n"/>
      <c r="K41" s="141" t="n"/>
      <c r="M41" s="32">
        <f>AVERAGE(IF(G41&gt;="SIM","100%","0%"))</f>
        <v/>
      </c>
    </row>
    <row r="42" hidden="1" ht="15.95" customHeight="1">
      <c r="B42" s="103" t="n"/>
      <c r="C42" s="140" t="n"/>
      <c r="D42" s="140" t="n"/>
      <c r="E42" s="140" t="n"/>
      <c r="F42" s="141" t="n"/>
      <c r="G42" s="5" t="n"/>
      <c r="H42" s="160" t="n"/>
      <c r="I42" s="140" t="n"/>
      <c r="J42" s="140" t="n"/>
      <c r="K42" s="141" t="n"/>
      <c r="M42" s="32">
        <f>AVERAGE(IF(G42&gt;="SIM","100%","0%"))</f>
        <v/>
      </c>
    </row>
    <row r="43" hidden="1" ht="15.95" customHeight="1">
      <c r="B43" s="103" t="n"/>
      <c r="C43" s="140" t="n"/>
      <c r="D43" s="140" t="n"/>
      <c r="E43" s="140" t="n"/>
      <c r="F43" s="141" t="n"/>
      <c r="G43" s="5" t="n"/>
      <c r="H43" s="160" t="n"/>
      <c r="I43" s="140" t="n"/>
      <c r="J43" s="140" t="n"/>
      <c r="K43" s="141" t="n"/>
      <c r="M43" s="32">
        <f>AVERAGE(IF(G43&gt;="SIM","100%","0%"))</f>
        <v/>
      </c>
    </row>
    <row r="44" hidden="1" ht="15.95" customHeight="1">
      <c r="B44" s="103" t="n"/>
      <c r="C44" s="140" t="n"/>
      <c r="D44" s="140" t="n"/>
      <c r="E44" s="140" t="n"/>
      <c r="F44" s="141" t="n"/>
      <c r="G44" s="5" t="n"/>
      <c r="H44" s="160" t="n"/>
      <c r="I44" s="140" t="n"/>
      <c r="J44" s="140" t="n"/>
      <c r="K44" s="141" t="n"/>
      <c r="M44" s="32">
        <f>AVERAGE(IF(G44&gt;="SIM","100%","0%"))</f>
        <v/>
      </c>
    </row>
    <row r="45" hidden="1" ht="16.5" customHeight="1">
      <c r="B45" s="103" t="n"/>
      <c r="C45" s="140" t="n"/>
      <c r="D45" s="140" t="n"/>
      <c r="E45" s="140" t="n"/>
      <c r="F45" s="141" t="n"/>
      <c r="G45" s="5" t="n"/>
      <c r="H45" s="160" t="n"/>
      <c r="I45" s="140" t="n"/>
      <c r="J45" s="140" t="n"/>
      <c r="K45" s="141" t="n"/>
      <c r="L45" s="2">
        <f>IF(G45&gt;="SIM","100%","0%")</f>
        <v/>
      </c>
      <c r="M45" s="32">
        <f>AVERAGE(IF(G45&gt;="SIM","100%","0%"))</f>
        <v/>
      </c>
    </row>
    <row r="46" ht="15.75" customHeight="1">
      <c r="B46" s="157" t="inlineStr">
        <is>
          <t>Parecer Inspeção:</t>
        </is>
      </c>
      <c r="C46" s="140" t="n"/>
      <c r="D46" s="140" t="n"/>
      <c r="E46" s="141" t="n"/>
      <c r="F46" s="5" t="inlineStr">
        <is>
          <t>NÃO CONFORME</t>
        </is>
      </c>
      <c r="G46" s="156" t="n"/>
      <c r="H46" s="158" t="n"/>
      <c r="I46" s="140" t="n"/>
      <c r="J46" s="140" t="n"/>
      <c r="K46" s="141" t="n"/>
      <c r="M46" s="32">
        <f>AVERAGE(IF(F46&gt;="NÃO CONFORME","0%","100%"))</f>
        <v/>
      </c>
    </row>
    <row r="47" ht="15.95" customHeight="1">
      <c r="B47" s="52" t="inlineStr">
        <is>
          <t>6 | XXX</t>
        </is>
      </c>
      <c r="C47" s="140" t="n"/>
      <c r="D47" s="140" t="n"/>
      <c r="E47" s="140" t="n"/>
      <c r="F47" s="141" t="n"/>
      <c r="G47" s="53" t="inlineStr">
        <is>
          <t>SIM / NÃO</t>
        </is>
      </c>
      <c r="H47" s="53" t="n"/>
      <c r="I47" s="140" t="n"/>
      <c r="J47" s="140" t="n"/>
      <c r="K47" s="141" t="n"/>
    </row>
    <row r="48" ht="15.95" customHeight="1">
      <c r="B48" s="161" t="inlineStr">
        <is>
          <t>Coeficiente Parcial:</t>
        </is>
      </c>
      <c r="C48" s="140" t="n"/>
      <c r="D48" s="140" t="n"/>
      <c r="E48" s="141" t="n"/>
      <c r="F48" s="4">
        <f>AVERAGE(M49:M63)</f>
        <v/>
      </c>
      <c r="G48" s="71">
        <f>M64</f>
        <v/>
      </c>
      <c r="H48" s="162" t="n"/>
      <c r="I48" s="140" t="n"/>
      <c r="J48" s="140" t="n"/>
      <c r="K48" s="141" t="n"/>
    </row>
    <row r="49" ht="15.95" customHeight="1">
      <c r="B49" s="34" t="n"/>
      <c r="C49" s="140" t="n"/>
      <c r="D49" s="140" t="n"/>
      <c r="E49" s="140" t="n"/>
      <c r="F49" s="141" t="n"/>
      <c r="G49" s="5" t="n"/>
      <c r="H49" s="160" t="n"/>
      <c r="I49" s="140" t="n"/>
      <c r="J49" s="140" t="n"/>
      <c r="K49" s="141" t="n"/>
      <c r="M49" s="32">
        <f>AVERAGE(IF(G49&gt;="SIM","100%","0%"))</f>
        <v/>
      </c>
    </row>
    <row r="50" ht="15.95" customHeight="1">
      <c r="B50" s="34" t="n"/>
      <c r="C50" s="140" t="n"/>
      <c r="D50" s="140" t="n"/>
      <c r="E50" s="140" t="n"/>
      <c r="F50" s="141" t="n"/>
      <c r="G50" s="5" t="n"/>
      <c r="H50" s="160" t="n"/>
      <c r="I50" s="140" t="n"/>
      <c r="J50" s="140" t="n"/>
      <c r="K50" s="141" t="n"/>
      <c r="L50" s="2">
        <f>IF(G50&gt;="SIM","100%","0%")</f>
        <v/>
      </c>
      <c r="M50" s="32">
        <f>AVERAGE(IF(G50&gt;="SIM","100%","0%"))</f>
        <v/>
      </c>
    </row>
    <row r="51" hidden="1" ht="15.95" customHeight="1">
      <c r="B51" s="103" t="n"/>
      <c r="C51" s="140" t="n"/>
      <c r="D51" s="140" t="n"/>
      <c r="E51" s="140" t="n"/>
      <c r="F51" s="141" t="n"/>
      <c r="G51" s="5" t="n"/>
      <c r="H51" s="160" t="n"/>
      <c r="I51" s="140" t="n"/>
      <c r="J51" s="140" t="n"/>
      <c r="K51" s="141" t="n"/>
      <c r="L51" s="2">
        <f>IF(G51&gt;="SIM","100%","0%")</f>
        <v/>
      </c>
      <c r="M51" s="32">
        <f>AVERAGE(IF(G51&gt;="SIM","100%","0%"))</f>
        <v/>
      </c>
    </row>
    <row r="52" hidden="1" ht="15.95" customHeight="1">
      <c r="B52" s="103" t="n"/>
      <c r="C52" s="140" t="n"/>
      <c r="D52" s="140" t="n"/>
      <c r="E52" s="140" t="n"/>
      <c r="F52" s="141" t="n"/>
      <c r="G52" s="5" t="n"/>
      <c r="H52" s="160" t="n"/>
      <c r="I52" s="140" t="n"/>
      <c r="J52" s="140" t="n"/>
      <c r="K52" s="141" t="n"/>
      <c r="L52" s="2">
        <f>IF(G52&gt;="SIM","100%","0%")</f>
        <v/>
      </c>
      <c r="M52" s="32">
        <f>AVERAGE(IF(G52&gt;="SIM","100%","0%"))</f>
        <v/>
      </c>
    </row>
    <row r="53" hidden="1" ht="15.95" customHeight="1">
      <c r="B53" s="103" t="n"/>
      <c r="C53" s="140" t="n"/>
      <c r="D53" s="140" t="n"/>
      <c r="E53" s="140" t="n"/>
      <c r="F53" s="141" t="n"/>
      <c r="G53" s="5" t="n"/>
      <c r="H53" s="160" t="n"/>
      <c r="I53" s="140" t="n"/>
      <c r="J53" s="140" t="n"/>
      <c r="K53" s="141" t="n"/>
      <c r="M53" s="32">
        <f>AVERAGE(IF(G53&gt;="SIM","100%","0%"))</f>
        <v/>
      </c>
    </row>
    <row r="54" hidden="1" ht="15.95" customHeight="1">
      <c r="B54" s="103" t="n"/>
      <c r="C54" s="140" t="n"/>
      <c r="D54" s="140" t="n"/>
      <c r="E54" s="140" t="n"/>
      <c r="F54" s="141" t="n"/>
      <c r="G54" s="5" t="n"/>
      <c r="H54" s="160" t="n"/>
      <c r="I54" s="140" t="n"/>
      <c r="J54" s="140" t="n"/>
      <c r="K54" s="141" t="n"/>
      <c r="M54" s="32">
        <f>AVERAGE(IF(G54&gt;="SIM","100%","0%"))</f>
        <v/>
      </c>
    </row>
    <row r="55" hidden="1" ht="15.95" customHeight="1">
      <c r="B55" s="103" t="n"/>
      <c r="C55" s="140" t="n"/>
      <c r="D55" s="140" t="n"/>
      <c r="E55" s="140" t="n"/>
      <c r="F55" s="141" t="n"/>
      <c r="G55" s="5" t="n"/>
      <c r="H55" s="160" t="n"/>
      <c r="I55" s="140" t="n"/>
      <c r="J55" s="140" t="n"/>
      <c r="K55" s="141" t="n"/>
      <c r="M55" s="32">
        <f>AVERAGE(IF(G55&gt;="SIM","100%","0%"))</f>
        <v/>
      </c>
    </row>
    <row r="56" hidden="1" ht="15.95" customHeight="1">
      <c r="B56" s="103" t="n"/>
      <c r="C56" s="140" t="n"/>
      <c r="D56" s="140" t="n"/>
      <c r="E56" s="140" t="n"/>
      <c r="F56" s="141" t="n"/>
      <c r="G56" s="5" t="n"/>
      <c r="H56" s="160" t="n"/>
      <c r="I56" s="140" t="n"/>
      <c r="J56" s="140" t="n"/>
      <c r="K56" s="141" t="n"/>
      <c r="M56" s="32">
        <f>AVERAGE(IF(G56&gt;="SIM","100%","0%"))</f>
        <v/>
      </c>
    </row>
    <row r="57" hidden="1" ht="15.95" customHeight="1">
      <c r="B57" s="103" t="n"/>
      <c r="C57" s="140" t="n"/>
      <c r="D57" s="140" t="n"/>
      <c r="E57" s="140" t="n"/>
      <c r="F57" s="141" t="n"/>
      <c r="G57" s="5" t="n"/>
      <c r="H57" s="160" t="n"/>
      <c r="I57" s="140" t="n"/>
      <c r="J57" s="140" t="n"/>
      <c r="K57" s="141" t="n"/>
      <c r="M57" s="32">
        <f>AVERAGE(IF(G57&gt;="SIM","100%","0%"))</f>
        <v/>
      </c>
    </row>
    <row r="58" hidden="1" ht="15.95" customHeight="1">
      <c r="B58" s="103" t="n"/>
      <c r="C58" s="140" t="n"/>
      <c r="D58" s="140" t="n"/>
      <c r="E58" s="140" t="n"/>
      <c r="F58" s="141" t="n"/>
      <c r="G58" s="5" t="n"/>
      <c r="H58" s="160" t="n"/>
      <c r="I58" s="140" t="n"/>
      <c r="J58" s="140" t="n"/>
      <c r="K58" s="141" t="n"/>
      <c r="M58" s="32">
        <f>AVERAGE(IF(G58&gt;="SIM","100%","0%"))</f>
        <v/>
      </c>
    </row>
    <row r="59" hidden="1" ht="15.95" customHeight="1">
      <c r="B59" s="103" t="n"/>
      <c r="C59" s="140" t="n"/>
      <c r="D59" s="140" t="n"/>
      <c r="E59" s="140" t="n"/>
      <c r="F59" s="141" t="n"/>
      <c r="G59" s="5" t="n"/>
      <c r="H59" s="160" t="n"/>
      <c r="I59" s="140" t="n"/>
      <c r="J59" s="140" t="n"/>
      <c r="K59" s="141" t="n"/>
      <c r="M59" s="32">
        <f>AVERAGE(IF(G59&gt;="SIM","100%","0%"))</f>
        <v/>
      </c>
    </row>
    <row r="60" hidden="1" ht="15.95" customHeight="1">
      <c r="B60" s="103" t="n"/>
      <c r="C60" s="140" t="n"/>
      <c r="D60" s="140" t="n"/>
      <c r="E60" s="140" t="n"/>
      <c r="F60" s="141" t="n"/>
      <c r="G60" s="5" t="n"/>
      <c r="H60" s="160" t="n"/>
      <c r="I60" s="140" t="n"/>
      <c r="J60" s="140" t="n"/>
      <c r="K60" s="141" t="n"/>
      <c r="M60" s="32">
        <f>AVERAGE(IF(G60&gt;="SIM","100%","0%"))</f>
        <v/>
      </c>
    </row>
    <row r="61" hidden="1" ht="15.95" customHeight="1">
      <c r="B61" s="103" t="n"/>
      <c r="C61" s="140" t="n"/>
      <c r="D61" s="140" t="n"/>
      <c r="E61" s="140" t="n"/>
      <c r="F61" s="141" t="n"/>
      <c r="G61" s="5" t="n"/>
      <c r="H61" s="160" t="n"/>
      <c r="I61" s="140" t="n"/>
      <c r="J61" s="140" t="n"/>
      <c r="K61" s="141" t="n"/>
      <c r="M61" s="32">
        <f>AVERAGE(IF(G61&gt;="SIM","100%","0%"))</f>
        <v/>
      </c>
    </row>
    <row r="62" hidden="1" ht="15.95" customHeight="1">
      <c r="B62" s="103" t="n"/>
      <c r="C62" s="140" t="n"/>
      <c r="D62" s="140" t="n"/>
      <c r="E62" s="140" t="n"/>
      <c r="F62" s="141" t="n"/>
      <c r="G62" s="5" t="n"/>
      <c r="H62" s="160" t="n"/>
      <c r="I62" s="140" t="n"/>
      <c r="J62" s="140" t="n"/>
      <c r="K62" s="141" t="n"/>
      <c r="M62" s="32">
        <f>AVERAGE(IF(G62&gt;="SIM","100%","0%"))</f>
        <v/>
      </c>
    </row>
    <row r="63" hidden="1" ht="15.95" customHeight="1">
      <c r="B63" s="103" t="n"/>
      <c r="C63" s="140" t="n"/>
      <c r="D63" s="140" t="n"/>
      <c r="E63" s="140" t="n"/>
      <c r="F63" s="141" t="n"/>
      <c r="G63" s="5" t="n"/>
      <c r="H63" s="160" t="n"/>
      <c r="I63" s="140" t="n"/>
      <c r="J63" s="140" t="n"/>
      <c r="K63" s="141" t="n"/>
      <c r="M63" s="32">
        <f>AVERAGE(IF(G63&gt;="SIM","100%","0%"))</f>
        <v/>
      </c>
    </row>
    <row r="64" ht="15.75" customHeight="1">
      <c r="B64" s="157" t="inlineStr">
        <is>
          <t>Parecer Inspeção:</t>
        </is>
      </c>
      <c r="C64" s="140" t="n"/>
      <c r="D64" s="140" t="n"/>
      <c r="E64" s="141" t="n"/>
      <c r="F64" s="5" t="inlineStr">
        <is>
          <t>NÃO CONFORME</t>
        </is>
      </c>
      <c r="G64" s="156" t="n"/>
      <c r="H64" s="158" t="n"/>
      <c r="I64" s="140" t="n"/>
      <c r="J64" s="140" t="n"/>
      <c r="K64" s="141" t="n"/>
      <c r="M64" s="32">
        <f>AVERAGE(IF(F64&gt;="NÃO CONFORME","0%","100%"))</f>
        <v/>
      </c>
    </row>
    <row r="65" ht="15.95" customHeight="1">
      <c r="B65" s="52" t="inlineStr">
        <is>
          <t>7 | XXX</t>
        </is>
      </c>
      <c r="C65" s="140" t="n"/>
      <c r="D65" s="140" t="n"/>
      <c r="E65" s="140" t="n"/>
      <c r="F65" s="141" t="n"/>
      <c r="G65" s="53" t="inlineStr">
        <is>
          <t>SIM / NÃO</t>
        </is>
      </c>
      <c r="H65" s="53" t="n"/>
      <c r="I65" s="140" t="n"/>
      <c r="J65" s="140" t="n"/>
      <c r="K65" s="141" t="n"/>
    </row>
    <row r="66" ht="15.95" customHeight="1">
      <c r="B66" s="161" t="inlineStr">
        <is>
          <t>Coeficiente Parcial:</t>
        </is>
      </c>
      <c r="C66" s="140" t="n"/>
      <c r="D66" s="140" t="n"/>
      <c r="E66" s="141" t="n"/>
      <c r="F66" s="4">
        <f>AVERAGE(M67:M78)</f>
        <v/>
      </c>
      <c r="G66" s="71">
        <f>M79</f>
        <v/>
      </c>
      <c r="H66" s="162" t="n"/>
      <c r="I66" s="140" t="n"/>
      <c r="J66" s="140" t="n"/>
      <c r="K66" s="141" t="n"/>
    </row>
    <row r="67" ht="15.95" customHeight="1">
      <c r="B67" s="34" t="n"/>
      <c r="C67" s="140" t="n"/>
      <c r="D67" s="140" t="n"/>
      <c r="E67" s="140" t="n"/>
      <c r="F67" s="141" t="n"/>
      <c r="G67" s="5" t="n"/>
      <c r="H67" s="160" t="n"/>
      <c r="I67" s="140" t="n"/>
      <c r="J67" s="140" t="n"/>
      <c r="K67" s="141" t="n"/>
      <c r="M67" s="32">
        <f>AVERAGE(IF(G67&gt;="SIM","100%","0%"))</f>
        <v/>
      </c>
    </row>
    <row r="68" ht="15.95" customHeight="1">
      <c r="B68" s="34" t="n"/>
      <c r="C68" s="140" t="n"/>
      <c r="D68" s="140" t="n"/>
      <c r="E68" s="140" t="n"/>
      <c r="F68" s="141" t="n"/>
      <c r="G68" s="5" t="n"/>
      <c r="H68" s="160" t="n"/>
      <c r="I68" s="140" t="n"/>
      <c r="J68" s="140" t="n"/>
      <c r="K68" s="141" t="n"/>
      <c r="L68" s="2">
        <f>IF(G68&gt;="SIM","100%","0%")</f>
        <v/>
      </c>
      <c r="M68" s="32">
        <f>AVERAGE(IF(G68&gt;="SIM","100%","0%"))</f>
        <v/>
      </c>
    </row>
    <row r="69" hidden="1" ht="15.95" customHeight="1">
      <c r="B69" s="103" t="n"/>
      <c r="C69" s="140" t="n"/>
      <c r="D69" s="140" t="n"/>
      <c r="E69" s="140" t="n"/>
      <c r="F69" s="141" t="n"/>
      <c r="G69" s="5" t="n"/>
      <c r="H69" s="160" t="n"/>
      <c r="I69" s="140" t="n"/>
      <c r="J69" s="140" t="n"/>
      <c r="K69" s="141" t="n"/>
      <c r="L69" s="2">
        <f>IF(G69&gt;="SIM","100%","0%")</f>
        <v/>
      </c>
      <c r="M69" s="32">
        <f>AVERAGE(IF(G69&gt;="SIM","100%","0%"))</f>
        <v/>
      </c>
    </row>
    <row r="70" hidden="1" ht="15.95" customHeight="1">
      <c r="B70" s="103" t="n"/>
      <c r="C70" s="140" t="n"/>
      <c r="D70" s="140" t="n"/>
      <c r="E70" s="140" t="n"/>
      <c r="F70" s="141" t="n"/>
      <c r="G70" s="5" t="n"/>
      <c r="H70" s="160" t="n"/>
      <c r="I70" s="140" t="n"/>
      <c r="J70" s="140" t="n"/>
      <c r="K70" s="141" t="n"/>
      <c r="L70" s="2">
        <f>IF(G70&gt;="SIM","100%","0%")</f>
        <v/>
      </c>
      <c r="M70" s="32">
        <f>AVERAGE(IF(G70&gt;="SIM","100%","0%"))</f>
        <v/>
      </c>
    </row>
    <row r="71" hidden="1" ht="15.95" customHeight="1">
      <c r="B71" s="103" t="n"/>
      <c r="C71" s="140" t="n"/>
      <c r="D71" s="140" t="n"/>
      <c r="E71" s="140" t="n"/>
      <c r="F71" s="141" t="n"/>
      <c r="G71" s="5" t="n"/>
      <c r="H71" s="160" t="n"/>
      <c r="I71" s="140" t="n"/>
      <c r="J71" s="140" t="n"/>
      <c r="K71" s="141" t="n"/>
      <c r="M71" s="32">
        <f>AVERAGE(IF(G71&gt;="SIM","100%","0%"))</f>
        <v/>
      </c>
    </row>
    <row r="72" hidden="1" ht="15.95" customHeight="1">
      <c r="B72" s="103" t="n"/>
      <c r="C72" s="140" t="n"/>
      <c r="D72" s="140" t="n"/>
      <c r="E72" s="140" t="n"/>
      <c r="F72" s="141" t="n"/>
      <c r="G72" s="5" t="n"/>
      <c r="H72" s="160" t="n"/>
      <c r="I72" s="140" t="n"/>
      <c r="J72" s="140" t="n"/>
      <c r="K72" s="141" t="n"/>
      <c r="M72" s="32">
        <f>AVERAGE(IF(G72&gt;="SIM","100%","0%"))</f>
        <v/>
      </c>
    </row>
    <row r="73" hidden="1" ht="15.95" customHeight="1">
      <c r="B73" s="103" t="n"/>
      <c r="C73" s="140" t="n"/>
      <c r="D73" s="140" t="n"/>
      <c r="E73" s="140" t="n"/>
      <c r="F73" s="141" t="n"/>
      <c r="G73" s="5" t="n"/>
      <c r="H73" s="160" t="n"/>
      <c r="I73" s="140" t="n"/>
      <c r="J73" s="140" t="n"/>
      <c r="K73" s="141" t="n"/>
      <c r="M73" s="32">
        <f>AVERAGE(IF(G73&gt;="SIM","100%","0%"))</f>
        <v/>
      </c>
    </row>
    <row r="74" hidden="1" ht="15.95" customHeight="1">
      <c r="B74" s="103" t="n"/>
      <c r="C74" s="140" t="n"/>
      <c r="D74" s="140" t="n"/>
      <c r="E74" s="140" t="n"/>
      <c r="F74" s="141" t="n"/>
      <c r="G74" s="5" t="n"/>
      <c r="H74" s="160" t="n"/>
      <c r="I74" s="140" t="n"/>
      <c r="J74" s="140" t="n"/>
      <c r="K74" s="141" t="n"/>
      <c r="M74" s="32">
        <f>AVERAGE(IF(G74&gt;="SIM","100%","0%"))</f>
        <v/>
      </c>
    </row>
    <row r="75" hidden="1" ht="15.95" customHeight="1">
      <c r="B75" s="103" t="n"/>
      <c r="C75" s="140" t="n"/>
      <c r="D75" s="140" t="n"/>
      <c r="E75" s="140" t="n"/>
      <c r="F75" s="141" t="n"/>
      <c r="G75" s="5" t="n"/>
      <c r="H75" s="160" t="n"/>
      <c r="I75" s="140" t="n"/>
      <c r="J75" s="140" t="n"/>
      <c r="K75" s="141" t="n"/>
      <c r="M75" s="32">
        <f>AVERAGE(IF(G75&gt;="SIM","100%","0%"))</f>
        <v/>
      </c>
    </row>
    <row r="76" hidden="1" ht="24.75" customHeight="1">
      <c r="B76" s="34" t="n"/>
      <c r="C76" s="140" t="n"/>
      <c r="D76" s="140" t="n"/>
      <c r="E76" s="140" t="n"/>
      <c r="F76" s="141" t="n"/>
      <c r="G76" s="5" t="n"/>
      <c r="H76" s="160" t="n"/>
      <c r="I76" s="140" t="n"/>
      <c r="J76" s="140" t="n"/>
      <c r="K76" s="141" t="n"/>
      <c r="M76" s="32">
        <f>AVERAGE(IF(G76&gt;="SIM","100%","0%"))</f>
        <v/>
      </c>
    </row>
    <row r="77" hidden="1" ht="15.95" customHeight="1">
      <c r="B77" s="103" t="n"/>
      <c r="C77" s="140" t="n"/>
      <c r="D77" s="140" t="n"/>
      <c r="E77" s="140" t="n"/>
      <c r="F77" s="141" t="n"/>
      <c r="G77" s="5" t="n"/>
      <c r="H77" s="160" t="n"/>
      <c r="I77" s="140" t="n"/>
      <c r="J77" s="140" t="n"/>
      <c r="K77" s="141" t="n"/>
      <c r="M77" s="32">
        <f>AVERAGE(IF(G77&gt;="SIM","100%","0%"))</f>
        <v/>
      </c>
    </row>
    <row r="78" hidden="1" ht="16.5" customHeight="1">
      <c r="B78" s="103" t="n"/>
      <c r="C78" s="140" t="n"/>
      <c r="D78" s="140" t="n"/>
      <c r="E78" s="140" t="n"/>
      <c r="F78" s="141" t="n"/>
      <c r="G78" s="5" t="n"/>
      <c r="H78" s="160" t="n"/>
      <c r="I78" s="140" t="n"/>
      <c r="J78" s="140" t="n"/>
      <c r="K78" s="141" t="n"/>
      <c r="L78" s="2">
        <f>IF(G78&gt;="SIM","100%","0%")</f>
        <v/>
      </c>
      <c r="M78" s="32">
        <f>AVERAGE(IF(G78&gt;="SIM","100%","0%"))</f>
        <v/>
      </c>
    </row>
    <row r="79" ht="15.75" customHeight="1">
      <c r="B79" s="157" t="inlineStr">
        <is>
          <t>Parecer Inspeção:</t>
        </is>
      </c>
      <c r="C79" s="140" t="n"/>
      <c r="D79" s="140" t="n"/>
      <c r="E79" s="141" t="n"/>
      <c r="F79" s="5" t="inlineStr">
        <is>
          <t>NÃO CONFORME</t>
        </is>
      </c>
      <c r="G79" s="156" t="n"/>
      <c r="H79" s="158" t="n"/>
      <c r="I79" s="140" t="n"/>
      <c r="J79" s="140" t="n"/>
      <c r="K79" s="141" t="n"/>
      <c r="M79" s="32">
        <f>AVERAGE(IF(F79&gt;="NÃO CONFORME","0%","100%"))</f>
        <v/>
      </c>
    </row>
    <row r="80" ht="40.5" customHeight="1">
      <c r="B80" s="34" t="inlineStr">
        <is>
          <t xml:space="preserve">OBSERVAÇÃO: 
</t>
        </is>
      </c>
      <c r="C80" s="140" t="n"/>
      <c r="D80" s="140" t="n"/>
      <c r="E80" s="140" t="n"/>
      <c r="F80" s="140" t="n"/>
      <c r="G80" s="140" t="n"/>
      <c r="H80" s="140" t="n"/>
      <c r="I80" s="140" t="n"/>
      <c r="J80" s="140" t="n"/>
      <c r="K80" s="141" t="n"/>
    </row>
    <row r="81" ht="14.1" customHeight="1">
      <c r="B81" s="103" t="inlineStr">
        <is>
          <t>Frequência: Sob Demanda</t>
        </is>
      </c>
      <c r="C81" s="140" t="n"/>
      <c r="D81" s="140" t="n"/>
      <c r="E81" s="140" t="n"/>
      <c r="F81" s="140" t="n"/>
      <c r="G81" s="140" t="n"/>
      <c r="H81" s="140" t="n"/>
      <c r="I81" s="140" t="n"/>
      <c r="J81" s="140" t="n"/>
      <c r="K81" s="141" t="n"/>
    </row>
    <row r="82" ht="14.1" customHeight="1">
      <c r="B82" s="103" t="inlineStr">
        <is>
          <t xml:space="preserve">Obs1: </t>
        </is>
      </c>
      <c r="C82" s="140" t="n"/>
      <c r="D82" s="140" t="n"/>
      <c r="E82" s="140" t="n"/>
      <c r="F82" s="140" t="n"/>
      <c r="G82" s="140" t="n"/>
      <c r="H82" s="140" t="n"/>
      <c r="I82" s="140" t="n"/>
      <c r="J82" s="140" t="n"/>
      <c r="K82" s="141" t="n"/>
    </row>
    <row r="83" ht="14.1" customHeight="1" thickBot="1">
      <c r="B83" s="104" t="inlineStr">
        <is>
          <t xml:space="preserve">Obs2: </t>
        </is>
      </c>
      <c r="C83" s="163" t="n"/>
      <c r="D83" s="163" t="n"/>
      <c r="E83" s="163" t="n"/>
      <c r="F83" s="163" t="n"/>
      <c r="G83" s="163" t="n"/>
      <c r="H83" s="163" t="n"/>
      <c r="I83" s="163" t="n"/>
      <c r="J83" s="163" t="n"/>
      <c r="K83" s="164" t="n"/>
    </row>
    <row r="84" ht="15.75" customHeight="1" thickBot="1">
      <c r="B84" s="122" t="inlineStr">
        <is>
          <t>Elaborado Por:</t>
        </is>
      </c>
      <c r="C84" s="136" t="n"/>
      <c r="D84" s="136" t="n"/>
      <c r="E84" s="137" t="n"/>
      <c r="F84" s="122" t="inlineStr">
        <is>
          <t>Verificado Por:</t>
        </is>
      </c>
      <c r="G84" s="136" t="n"/>
      <c r="H84" s="137" t="n"/>
      <c r="I84" s="122" t="inlineStr">
        <is>
          <t>Aprovador Por:</t>
        </is>
      </c>
      <c r="J84" s="136" t="n"/>
      <c r="K84" s="137" t="n"/>
    </row>
    <row r="85" ht="15.75" customHeight="1" thickBot="1">
      <c r="B85" s="123" t="n"/>
      <c r="C85" s="136" t="n"/>
      <c r="D85" s="136" t="n"/>
      <c r="E85" s="137" t="n"/>
      <c r="F85" s="123" t="n"/>
      <c r="G85" s="136" t="n"/>
      <c r="H85" s="137" t="n"/>
      <c r="I85" s="123" t="n"/>
      <c r="J85" s="136" t="n"/>
      <c r="K85" s="137" t="n"/>
    </row>
    <row r="88" ht="12.75" customFormat="1" customHeight="1" s="2"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M88" s="32" t="n"/>
    </row>
    <row r="89" ht="12.75" customFormat="1" customHeight="1" s="2">
      <c r="B89" s="97" t="n"/>
      <c r="M89" s="32" t="n"/>
    </row>
    <row r="90" customFormat="1" s="2">
      <c r="M90" s="32" t="n"/>
    </row>
    <row r="91" customFormat="1" s="2">
      <c r="M91" s="32" t="n"/>
    </row>
    <row r="92" customFormat="1" s="2">
      <c r="M92" s="32" t="n"/>
    </row>
    <row r="93" customFormat="1" s="2">
      <c r="M93" s="32" t="n"/>
    </row>
    <row r="94" customFormat="1" s="2">
      <c r="M94" s="32" t="n"/>
    </row>
    <row r="95" customFormat="1" s="2">
      <c r="M95" s="32" t="n"/>
    </row>
    <row r="96" customFormat="1" s="2">
      <c r="M96" s="32" t="n"/>
    </row>
    <row r="97" customFormat="1" s="2">
      <c r="M97" s="32" t="n"/>
    </row>
    <row r="98" customFormat="1" s="2">
      <c r="M98" s="32" t="n"/>
    </row>
    <row r="99" customFormat="1" s="2">
      <c r="M99" s="32" t="n"/>
    </row>
    <row r="100" customFormat="1" s="2">
      <c r="M100" s="32" t="n"/>
    </row>
    <row r="101" customFormat="1" s="2">
      <c r="M101" s="32" t="n"/>
    </row>
    <row r="102" customFormat="1" s="2">
      <c r="M102" s="32" t="n"/>
    </row>
    <row r="103" customFormat="1" s="2">
      <c r="M103" s="32" t="n"/>
    </row>
    <row r="104" customFormat="1" s="2">
      <c r="M104" s="32" t="n"/>
    </row>
    <row r="105" customFormat="1" s="2">
      <c r="M105" s="32" t="n"/>
    </row>
    <row r="106" customFormat="1" s="2">
      <c r="M106" s="32" t="n"/>
    </row>
    <row r="107" customFormat="1" s="2">
      <c r="M107" s="32" t="n"/>
    </row>
    <row r="108" customFormat="1" s="2">
      <c r="M108" s="32" t="n"/>
    </row>
    <row r="109" customFormat="1" s="2">
      <c r="M109" s="32" t="n"/>
    </row>
    <row r="110" customFormat="1" s="2">
      <c r="M110" s="32" t="n"/>
    </row>
    <row r="111" customFormat="1" s="2">
      <c r="M111" s="32" t="n"/>
    </row>
    <row r="112" customFormat="1" s="2">
      <c r="M112" s="32" t="n"/>
    </row>
    <row r="113" customFormat="1" s="2">
      <c r="M113" s="32" t="n"/>
    </row>
    <row r="114" customFormat="1" s="2">
      <c r="M114" s="32" t="n"/>
    </row>
    <row r="115" customFormat="1" s="2">
      <c r="M115" s="32" t="n"/>
    </row>
    <row r="116" customFormat="1" s="2">
      <c r="M116" s="32" t="n"/>
    </row>
    <row r="117" customFormat="1" s="2">
      <c r="M117" s="32" t="n"/>
    </row>
    <row r="118" customFormat="1" s="2">
      <c r="M118" s="32" t="n"/>
    </row>
    <row r="119" customFormat="1" s="2">
      <c r="M119" s="32" t="n"/>
    </row>
    <row r="120" customFormat="1" s="2">
      <c r="M120" s="32" t="n"/>
    </row>
    <row r="121" customFormat="1" s="2">
      <c r="M121" s="32" t="n"/>
    </row>
    <row r="122" customFormat="1" s="2">
      <c r="M122" s="32" t="n"/>
    </row>
    <row r="123" customFormat="1" s="2">
      <c r="M123" s="32" t="n"/>
    </row>
    <row r="124" customFormat="1" s="2">
      <c r="M124" s="32" t="n"/>
    </row>
    <row r="125" customFormat="1" s="2">
      <c r="M125" s="32" t="n"/>
    </row>
    <row r="126" customFormat="1" s="2">
      <c r="M126" s="32" t="n"/>
    </row>
    <row r="127" customFormat="1" s="2">
      <c r="M127" s="32" t="n"/>
    </row>
    <row r="128" customFormat="1" s="2">
      <c r="M128" s="32" t="n"/>
    </row>
    <row r="129" customFormat="1" s="2">
      <c r="M129" s="32" t="n"/>
    </row>
    <row r="130" customFormat="1" s="2">
      <c r="M130" s="32" t="n"/>
    </row>
    <row r="131" customFormat="1" s="2">
      <c r="M131" s="32" t="n"/>
    </row>
    <row r="132" customFormat="1" s="2">
      <c r="M132" s="32" t="n"/>
    </row>
    <row r="133" customFormat="1" s="2">
      <c r="M133" s="32" t="n"/>
    </row>
    <row r="134" customFormat="1" s="2">
      <c r="M134" s="32" t="n"/>
    </row>
    <row r="135" customFormat="1" s="2">
      <c r="M135" s="32" t="n"/>
    </row>
    <row r="136" customFormat="1" s="2">
      <c r="M136" s="32" t="n"/>
    </row>
    <row r="137" customFormat="1" s="2">
      <c r="M137" s="32" t="n"/>
    </row>
    <row r="138" customFormat="1" s="2">
      <c r="M138" s="32" t="n"/>
    </row>
    <row r="139" customFormat="1" s="2">
      <c r="M139" s="32" t="n"/>
    </row>
    <row r="140" customFormat="1" s="2">
      <c r="M140" s="32" t="n"/>
    </row>
    <row r="141" customFormat="1" s="2">
      <c r="M141" s="32" t="n"/>
    </row>
    <row r="142" customFormat="1" s="2">
      <c r="M142" s="32" t="n"/>
    </row>
    <row r="143" customFormat="1" s="2">
      <c r="M143" s="32" t="n"/>
    </row>
    <row r="144" customFormat="1" s="2">
      <c r="M144" s="32" t="n"/>
    </row>
    <row r="145" customFormat="1" s="2">
      <c r="M145" s="32" t="n"/>
    </row>
    <row r="146" customFormat="1" s="2">
      <c r="M146" s="32" t="n"/>
    </row>
  </sheetData>
  <mergeCells count="169">
    <mergeCell ref="H27:K27"/>
    <mergeCell ref="B16:F16"/>
    <mergeCell ref="F85:H85"/>
    <mergeCell ref="B6:K6"/>
    <mergeCell ref="H24:K24"/>
    <mergeCell ref="B71:F71"/>
    <mergeCell ref="H76:K76"/>
    <mergeCell ref="H33:K33"/>
    <mergeCell ref="B58:F58"/>
    <mergeCell ref="B27:F27"/>
    <mergeCell ref="H42:K42"/>
    <mergeCell ref="B80:K80"/>
    <mergeCell ref="B52:F52"/>
    <mergeCell ref="H26:K26"/>
    <mergeCell ref="B42:F42"/>
    <mergeCell ref="H53:K53"/>
    <mergeCell ref="H35:K35"/>
    <mergeCell ref="B60:F60"/>
    <mergeCell ref="H67:K67"/>
    <mergeCell ref="F79:G79"/>
    <mergeCell ref="B53:F53"/>
    <mergeCell ref="B44:F44"/>
    <mergeCell ref="H55:K55"/>
    <mergeCell ref="B34:F34"/>
    <mergeCell ref="H39:K39"/>
    <mergeCell ref="F23:G23"/>
    <mergeCell ref="B37:F37"/>
    <mergeCell ref="H59:K59"/>
    <mergeCell ref="B23:E23"/>
    <mergeCell ref="H52:K52"/>
    <mergeCell ref="H79:K79"/>
    <mergeCell ref="H61:K61"/>
    <mergeCell ref="B82:K82"/>
    <mergeCell ref="H45:K45"/>
    <mergeCell ref="H72:K72"/>
    <mergeCell ref="H37:K37"/>
    <mergeCell ref="E12:F12"/>
    <mergeCell ref="G12:H12"/>
    <mergeCell ref="H65:K65"/>
    <mergeCell ref="B54:F54"/>
    <mergeCell ref="H47:K47"/>
    <mergeCell ref="B72:F72"/>
    <mergeCell ref="B64:E64"/>
    <mergeCell ref="B83:K83"/>
    <mergeCell ref="B33:E33"/>
    <mergeCell ref="H62:K62"/>
    <mergeCell ref="H15:K15"/>
    <mergeCell ref="H71:K71"/>
    <mergeCell ref="B56:F56"/>
    <mergeCell ref="H23:K23"/>
    <mergeCell ref="H18:K18"/>
    <mergeCell ref="B70:F70"/>
    <mergeCell ref="B43:F43"/>
    <mergeCell ref="B35:E35"/>
    <mergeCell ref="D2:E2"/>
    <mergeCell ref="F18:G18"/>
    <mergeCell ref="F33:G33"/>
    <mergeCell ref="B25:E25"/>
    <mergeCell ref="H54:K54"/>
    <mergeCell ref="B17:F17"/>
    <mergeCell ref="H63:K63"/>
    <mergeCell ref="B57:F57"/>
    <mergeCell ref="B66:E66"/>
    <mergeCell ref="H41:K41"/>
    <mergeCell ref="H50:K50"/>
    <mergeCell ref="B18:E18"/>
    <mergeCell ref="H56:K56"/>
    <mergeCell ref="H34:K34"/>
    <mergeCell ref="H25:K25"/>
    <mergeCell ref="B19:F19"/>
    <mergeCell ref="F46:G46"/>
    <mergeCell ref="F28:G28"/>
    <mergeCell ref="H49:K49"/>
    <mergeCell ref="C8:D8"/>
    <mergeCell ref="B74:F74"/>
    <mergeCell ref="B68:F68"/>
    <mergeCell ref="H36:K36"/>
    <mergeCell ref="H17:K17"/>
    <mergeCell ref="H69:K69"/>
    <mergeCell ref="F2:J3"/>
    <mergeCell ref="B76:F76"/>
    <mergeCell ref="B45:F45"/>
    <mergeCell ref="G9:H9"/>
    <mergeCell ref="F64:G64"/>
    <mergeCell ref="H19:K19"/>
    <mergeCell ref="B84:E84"/>
    <mergeCell ref="I85:K85"/>
    <mergeCell ref="C10:E10"/>
    <mergeCell ref="H28:K28"/>
    <mergeCell ref="B75:F75"/>
    <mergeCell ref="H75:K75"/>
    <mergeCell ref="B47:F47"/>
    <mergeCell ref="B62:F62"/>
    <mergeCell ref="G11:H11"/>
    <mergeCell ref="B59:F59"/>
    <mergeCell ref="C9:E9"/>
    <mergeCell ref="B31:F31"/>
    <mergeCell ref="H48:K48"/>
    <mergeCell ref="B21:F21"/>
    <mergeCell ref="B89:K146"/>
    <mergeCell ref="B79:E79"/>
    <mergeCell ref="B39:F39"/>
    <mergeCell ref="H14:K14"/>
    <mergeCell ref="C11:E11"/>
    <mergeCell ref="H38:K38"/>
    <mergeCell ref="B7:E7"/>
    <mergeCell ref="H43:K43"/>
    <mergeCell ref="C12:D12"/>
    <mergeCell ref="B73:F73"/>
    <mergeCell ref="H58:K58"/>
    <mergeCell ref="H40:K40"/>
    <mergeCell ref="I84:K84"/>
    <mergeCell ref="H74:K74"/>
    <mergeCell ref="H68:K68"/>
    <mergeCell ref="B2:B4"/>
    <mergeCell ref="H60:K60"/>
    <mergeCell ref="D3:E3"/>
    <mergeCell ref="B65:F65"/>
    <mergeCell ref="F84:H84"/>
    <mergeCell ref="C4:E4"/>
    <mergeCell ref="H16:K16"/>
    <mergeCell ref="B63:F63"/>
    <mergeCell ref="B36:F36"/>
    <mergeCell ref="B50:F50"/>
    <mergeCell ref="B28:E28"/>
    <mergeCell ref="H57:K57"/>
    <mergeCell ref="H66:K66"/>
    <mergeCell ref="H22:K22"/>
    <mergeCell ref="B30:E30"/>
    <mergeCell ref="K2:K4"/>
    <mergeCell ref="H77:K77"/>
    <mergeCell ref="B22:F22"/>
    <mergeCell ref="B20:E20"/>
    <mergeCell ref="B85:E85"/>
    <mergeCell ref="B77:F77"/>
    <mergeCell ref="G7:K7"/>
    <mergeCell ref="H30:K30"/>
    <mergeCell ref="G10:H10"/>
    <mergeCell ref="H20:K20"/>
    <mergeCell ref="B67:F67"/>
    <mergeCell ref="B61:F61"/>
    <mergeCell ref="H78:K78"/>
    <mergeCell ref="H29:K29"/>
    <mergeCell ref="B14:F14"/>
    <mergeCell ref="B81:K81"/>
    <mergeCell ref="B46:E46"/>
    <mergeCell ref="B29:F29"/>
    <mergeCell ref="H44:K44"/>
    <mergeCell ref="B69:F69"/>
    <mergeCell ref="B38:F38"/>
    <mergeCell ref="B78:F78"/>
    <mergeCell ref="H31:K31"/>
    <mergeCell ref="B48:E48"/>
    <mergeCell ref="H64:K64"/>
    <mergeCell ref="H21:K21"/>
    <mergeCell ref="H46:K46"/>
    <mergeCell ref="H73:K73"/>
    <mergeCell ref="B40:F40"/>
    <mergeCell ref="H51:K51"/>
    <mergeCell ref="B49:F49"/>
    <mergeCell ref="G4:H4"/>
    <mergeCell ref="B55:F55"/>
    <mergeCell ref="B24:F24"/>
    <mergeCell ref="H70:K70"/>
    <mergeCell ref="B51:F51"/>
    <mergeCell ref="H32:K32"/>
    <mergeCell ref="B32:F32"/>
    <mergeCell ref="B26:F26"/>
    <mergeCell ref="B41:F41"/>
  </mergeCells>
  <conditionalFormatting sqref="E8">
    <cfRule type="containsText" priority="60" operator="containsText" dxfId="0" text="EM ATRASO">
      <formula>NOT(ISERROR(SEARCH("EM ATRASO",E8)))</formula>
    </cfRule>
    <cfRule type="containsText" priority="61" operator="containsText" dxfId="1" text="URGENTE">
      <formula>NOT(ISERROR(SEARCH("URGENTE",E8)))</formula>
    </cfRule>
    <cfRule type="containsText" priority="62" operator="containsText" dxfId="34" text="PRIORIDADE">
      <formula>NOT(ISERROR(SEARCH("PRIORIDADE",E8)))</formula>
    </cfRule>
    <cfRule type="containsText" priority="63" operator="containsText" dxfId="33" text="IMPORTANTE">
      <formula>NOT(ISERROR(SEARCH("IMPORTANTE",E8)))</formula>
    </cfRule>
    <cfRule type="containsText" priority="64" operator="containsText" dxfId="2" text="EM DIA">
      <formula>NOT(ISERROR(SEARCH("EM DIA",E8)))</formula>
    </cfRule>
  </conditionalFormatting>
  <conditionalFormatting sqref="F7">
    <cfRule type="cellIs" priority="157" operator="between" dxfId="0" stopIfTrue="1">
      <formula>0%</formula>
      <formula>39.99%</formula>
    </cfRule>
    <cfRule type="cellIs" priority="156" operator="between" dxfId="1" stopIfTrue="1">
      <formula>33.3%</formula>
      <formula>95%</formula>
    </cfRule>
    <cfRule type="cellIs" priority="155" operator="between" dxfId="2" stopIfTrue="1">
      <formula>95.1%</formula>
      <formula>100%</formula>
    </cfRule>
  </conditionalFormatting>
  <conditionalFormatting sqref="F8:F11">
    <cfRule type="iconSet" priority="5">
      <iconSet iconSet="3Symbols">
        <cfvo type="percent" val="0"/>
        <cfvo type="num" val="7"/>
        <cfvo type="num" val="30" gte="0"/>
      </iconSet>
    </cfRule>
  </conditionalFormatting>
  <conditionalFormatting sqref="F18:G18">
    <cfRule type="containsText" priority="77" operator="containsText" dxfId="2" stopIfTrue="1" text="CONFORME">
      <formula>NOT(ISERROR(SEARCH("CONFORME",F18)))</formula>
    </cfRule>
    <cfRule type="containsText" priority="76" operator="containsText" dxfId="0" stopIfTrue="1" text="NÃO CONFORME">
      <formula>NOT(ISERROR(SEARCH("NÃO CONFORME",F18)))</formula>
    </cfRule>
  </conditionalFormatting>
  <conditionalFormatting sqref="F23:G23">
    <cfRule type="containsText" priority="119" operator="containsText" dxfId="0" stopIfTrue="1" text="NÃO CONFORME">
      <formula>NOT(ISERROR(SEARCH("NÃO CONFORME",F23)))</formula>
    </cfRule>
    <cfRule type="containsText" priority="120" operator="containsText" dxfId="2" stopIfTrue="1" text="CONFORME">
      <formula>NOT(ISERROR(SEARCH("CONFORME",F23)))</formula>
    </cfRule>
  </conditionalFormatting>
  <conditionalFormatting sqref="F28:G28">
    <cfRule type="containsText" priority="107" operator="containsText" dxfId="0" stopIfTrue="1" text="NÃO CONFORME">
      <formula>NOT(ISERROR(SEARCH("NÃO CONFORME",F28)))</formula>
    </cfRule>
    <cfRule type="containsText" priority="108" operator="containsText" dxfId="2" stopIfTrue="1" text="CONFORME">
      <formula>NOT(ISERROR(SEARCH("CONFORME",F28)))</formula>
    </cfRule>
  </conditionalFormatting>
  <conditionalFormatting sqref="F33:G33 F64:G64 F79:G79">
    <cfRule type="containsText" priority="97" operator="containsText" dxfId="0" stopIfTrue="1" text="NÃO CONFORME">
      <formula>NOT(ISERROR(SEARCH("NÃO CONFORME",F33)))</formula>
    </cfRule>
    <cfRule type="containsText" priority="98" operator="containsText" dxfId="2" stopIfTrue="1" text="CONFORME">
      <formula>NOT(ISERROR(SEARCH("CONFORME",F33)))</formula>
    </cfRule>
  </conditionalFormatting>
  <conditionalFormatting sqref="F46:G46">
    <cfRule type="containsText" priority="3" operator="containsText" dxfId="0" stopIfTrue="1" text="NÃO CONFORME">
      <formula>NOT(ISERROR(SEARCH("NÃO CONFORME",F46)))</formula>
    </cfRule>
    <cfRule type="containsText" priority="4" operator="containsText" dxfId="2" stopIfTrue="1" text="CONFORME">
      <formula>NOT(ISERROR(SEARCH("CONFORME",F46)))</formula>
    </cfRule>
  </conditionalFormatting>
  <conditionalFormatting sqref="G21:G22">
    <cfRule type="beginsWith" priority="133" operator="beginsWith" dxfId="0" stopIfTrue="1" text="NÃO">
      <formula>LEFT(G21,LEN("NÃO"))="NÃO"</formula>
    </cfRule>
    <cfRule type="beginsWith" priority="134" operator="beginsWith" dxfId="2" stopIfTrue="1" text="SIM">
      <formula>LEFT(G21,LEN("SIM"))="SIM"</formula>
    </cfRule>
  </conditionalFormatting>
  <conditionalFormatting sqref="G26:G27">
    <cfRule type="beginsWith" priority="141" operator="beginsWith" dxfId="0" stopIfTrue="1" text="NÃO">
      <formula>LEFT(G26,LEN("NÃO"))="NÃO"</formula>
    </cfRule>
    <cfRule type="beginsWith" priority="142" operator="beginsWith" dxfId="2" stopIfTrue="1" text="SIM">
      <formula>LEFT(G26,LEN("SIM"))="SIM"</formula>
    </cfRule>
  </conditionalFormatting>
  <conditionalFormatting sqref="G31:G32">
    <cfRule type="beginsWith" priority="145" operator="beginsWith" dxfId="0" stopIfTrue="1" text="NÃO">
      <formula>LEFT(G31,LEN("NÃO"))="NÃO"</formula>
    </cfRule>
    <cfRule type="beginsWith" priority="146" operator="beginsWith" dxfId="2" stopIfTrue="1" text="SIM">
      <formula>LEFT(G31,LEN("SIM"))="SIM"</formula>
    </cfRule>
  </conditionalFormatting>
  <conditionalFormatting sqref="G36:G45">
    <cfRule type="beginsWith" priority="50" operator="beginsWith" dxfId="0" stopIfTrue="1" text="NÃO">
      <formula>LEFT(G36,LEN("NÃO"))="NÃO"</formula>
    </cfRule>
    <cfRule type="beginsWith" priority="51" operator="beginsWith" dxfId="2" stopIfTrue="1" text="SIM">
      <formula>LEFT(G36,LEN("SIM"))="SIM"</formula>
    </cfRule>
  </conditionalFormatting>
  <conditionalFormatting sqref="G49:G63">
    <cfRule type="beginsWith" priority="34" operator="beginsWith" dxfId="0" stopIfTrue="1" text="NÃO">
      <formula>LEFT(G49,LEN("NÃO"))="NÃO"</formula>
    </cfRule>
    <cfRule type="beginsWith" priority="35" operator="beginsWith" dxfId="2" stopIfTrue="1" text="SIM">
      <formula>LEFT(G49,LEN("SIM"))="SIM"</formula>
    </cfRule>
  </conditionalFormatting>
  <conditionalFormatting sqref="G67:G78">
    <cfRule type="beginsWith" priority="14" operator="beginsWith" dxfId="0" stopIfTrue="1" text="NÃO">
      <formula>LEFT(G67,LEN("NÃO"))="NÃO"</formula>
    </cfRule>
    <cfRule type="beginsWith" priority="15" operator="beginsWith" dxfId="2" stopIfTrue="1" text="SIM">
      <formula>LEFT(G67,LEN("SIM"))="SIM"</formula>
    </cfRule>
  </conditionalFormatting>
  <conditionalFormatting sqref="G16:H17">
    <cfRule type="beginsWith" priority="69" operator="beginsWith" dxfId="2" stopIfTrue="1" text="SIM">
      <formula>LEFT(G16,LEN("SIM"))="SIM"</formula>
    </cfRule>
    <cfRule type="beginsWith" priority="68" operator="beginsWith" dxfId="0" stopIfTrue="1" text="NÃO">
      <formula>LEFT(G16,LEN("NÃO"))="NÃO"</formula>
    </cfRule>
  </conditionalFormatting>
  <conditionalFormatting sqref="I9:I12 J9:J11">
    <cfRule type="cellIs" priority="2" operator="equal" dxfId="2">
      <formula>1</formula>
    </cfRule>
    <cfRule type="cellIs" priority="1" operator="equal" dxfId="0">
      <formula>0</formula>
    </cfRule>
  </conditionalFormatting>
  <conditionalFormatting sqref="K12">
    <cfRule type="cellIs" priority="88" operator="between" dxfId="2">
      <formula>0.75</formula>
      <formula>1</formula>
    </cfRule>
    <cfRule type="cellIs" priority="89" operator="between" dxfId="1">
      <formula>0.51</formula>
      <formula>0.75</formula>
    </cfRule>
    <cfRule type="cellIs" priority="90" operator="between" dxfId="0">
      <formula>0</formula>
      <formula>0.5</formula>
    </cfRule>
  </conditionalFormatting>
  <dataValidations count="2">
    <dataValidation sqref="F18:G18 F23:G23 F28:G28 F33:G33 F46:G46 F64:G64 F79:G79" showDropDown="0" showInputMessage="1" showErrorMessage="1" allowBlank="1" type="list">
      <formula1>$M$11:$M$12</formula1>
    </dataValidation>
    <dataValidation sqref="G16:G17 G21:G22 G26:G27 G31:G32 G36:G45 G49:G63 G67:G78" showDropDown="0" showInputMessage="1" showErrorMessage="1" allowBlank="1" type="list">
      <formula1>$M$9:$M$10</formula1>
    </dataValidation>
  </dataValidations>
  <pageMargins left="0.511811024" right="0.511811024" top="0.787401575" bottom="0.787401575" header="0.31496062" footer="0.31496062"/>
  <pageSetup orientation="portrait" paperSize="9" scale="74"/>
  <drawing xmlns:r="http://schemas.openxmlformats.org/officeDocument/2006/relationships" r:id="rId2"/>
  <legacy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Atos Nick</dc:creator>
  <dcterms:created xmlns:dcterms="http://purl.org/dc/terms/" xmlns:xsi="http://www.w3.org/2001/XMLSchema-instance" xsi:type="dcterms:W3CDTF">2012-06-29T14:44:54Z</dcterms:created>
  <dcterms:modified xmlns:dcterms="http://purl.org/dc/terms/" xmlns:xsi="http://www.w3.org/2001/XMLSchema-instance" xsi:type="dcterms:W3CDTF">2026-09-03T20:16:35Z</dcterms:modified>
  <cp:lastModifiedBy>Atos Nick Batista</cp:lastModifiedBy>
  <cp:lastPrinted>2025-03-21T22:55:07Z</cp:lastPrinted>
</cp:coreProperties>
</file>