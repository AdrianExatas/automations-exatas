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atas\Documents\GitHub\automations-exatas\gerador-pop-it\referencias\"/>
    </mc:Choice>
  </mc:AlternateContent>
  <bookViews>
    <workbookView xWindow="13305" yWindow="1935" windowWidth="12345" windowHeight="11760"/>
  </bookViews>
  <sheets>
    <sheet name="Recálculo Guia Dpt. Fiscal" sheetId="13" r:id="rId1"/>
  </sheets>
  <definedNames>
    <definedName name="_xlnm.Print_Area" localSheetId="0">'Recálculo Guia Dpt. Fiscal'!$B$2:$K$86</definedName>
  </definedNames>
  <calcPr calcId="162913"/>
</workbook>
</file>

<file path=xl/calcChain.xml><?xml version="1.0" encoding="utf-8"?>
<calcChain xmlns="http://schemas.openxmlformats.org/spreadsheetml/2006/main">
  <c r="M17" i="13" l="1"/>
  <c r="C10" i="13"/>
  <c r="C11" i="13" s="1"/>
  <c r="L39" i="13" l="1"/>
  <c r="M39" i="13"/>
  <c r="L40" i="13"/>
  <c r="M40" i="13"/>
  <c r="M41" i="13"/>
  <c r="M42" i="13"/>
  <c r="M43" i="13"/>
  <c r="M44" i="13"/>
  <c r="M45" i="13"/>
  <c r="L46" i="13"/>
  <c r="M46" i="13"/>
  <c r="M80" i="13" l="1"/>
  <c r="G67" i="13" s="1"/>
  <c r="J11" i="13" s="1"/>
  <c r="M65" i="13"/>
  <c r="G49" i="13" s="1"/>
  <c r="J10" i="13" s="1"/>
  <c r="M47" i="13"/>
  <c r="G36" i="13" s="1"/>
  <c r="J9" i="13" s="1"/>
  <c r="M34" i="13"/>
  <c r="G31" i="13" s="1"/>
  <c r="I12" i="13" s="1"/>
  <c r="M19" i="13"/>
  <c r="G15" i="13" s="1"/>
  <c r="I9" i="13" s="1"/>
  <c r="K12" i="13" s="1"/>
  <c r="M24" i="13"/>
  <c r="G21" i="13" s="1"/>
  <c r="I10" i="13" s="1"/>
  <c r="M29" i="13"/>
  <c r="G26" i="13" s="1"/>
  <c r="I11" i="13" s="1"/>
  <c r="M77" i="13"/>
  <c r="M72" i="13"/>
  <c r="M73" i="13"/>
  <c r="M74" i="13"/>
  <c r="M75" i="13"/>
  <c r="M76" i="13"/>
  <c r="M78" i="13"/>
  <c r="M54" i="13"/>
  <c r="M55" i="13"/>
  <c r="M56" i="13"/>
  <c r="M57" i="13"/>
  <c r="M58" i="13"/>
  <c r="M59" i="13"/>
  <c r="M60" i="13"/>
  <c r="M61" i="13"/>
  <c r="M62" i="13"/>
  <c r="M63" i="13"/>
  <c r="M64" i="13"/>
  <c r="M79" i="13"/>
  <c r="L79" i="13"/>
  <c r="M71" i="13"/>
  <c r="L71" i="13"/>
  <c r="M70" i="13"/>
  <c r="L70" i="13"/>
  <c r="M69" i="13"/>
  <c r="L69" i="13"/>
  <c r="M68" i="13"/>
  <c r="M53" i="13"/>
  <c r="L53" i="13"/>
  <c r="M52" i="13"/>
  <c r="L52" i="13"/>
  <c r="M51" i="13"/>
  <c r="L51" i="13"/>
  <c r="M50" i="13"/>
  <c r="M38" i="13"/>
  <c r="L38" i="13"/>
  <c r="M37" i="13"/>
  <c r="F36" i="13" s="1"/>
  <c r="C8" i="13"/>
  <c r="F67" i="13" l="1"/>
  <c r="F49" i="13"/>
  <c r="M33" i="13"/>
  <c r="L33" i="13"/>
  <c r="M32" i="13"/>
  <c r="M28" i="13"/>
  <c r="L28" i="13"/>
  <c r="M27" i="13"/>
  <c r="L25" i="13"/>
  <c r="M23" i="13"/>
  <c r="L23" i="13"/>
  <c r="M22" i="13"/>
  <c r="L22" i="13"/>
  <c r="M18" i="13"/>
  <c r="M16" i="13"/>
  <c r="L16" i="13"/>
  <c r="F26" i="13" l="1"/>
  <c r="F21" i="13"/>
  <c r="F15" i="13"/>
  <c r="F7" i="13" s="1"/>
  <c r="F31" i="13"/>
  <c r="F9" i="13"/>
  <c r="F8" i="13"/>
  <c r="E8" i="13" s="1"/>
  <c r="F11" i="13"/>
  <c r="F10" i="13"/>
  <c r="L26" i="13"/>
</calcChain>
</file>

<file path=xl/sharedStrings.xml><?xml version="1.0" encoding="utf-8"?>
<sst xmlns="http://schemas.openxmlformats.org/spreadsheetml/2006/main" count="107" uniqueCount="48">
  <si>
    <t>1- Processo de Recepção de Carcaças</t>
  </si>
  <si>
    <t>SIM / NÃO</t>
  </si>
  <si>
    <t>Coeficiente Parcial:</t>
  </si>
  <si>
    <t xml:space="preserve">Obs1: </t>
  </si>
  <si>
    <t xml:space="preserve">Obs2: </t>
  </si>
  <si>
    <t xml:space="preserve">OBSERVAÇÃO: 
</t>
  </si>
  <si>
    <t>Parecer Inspeção:</t>
  </si>
  <si>
    <t>Resumo de Inspeção</t>
  </si>
  <si>
    <t>Conclusão:</t>
  </si>
  <si>
    <t>SIM</t>
  </si>
  <si>
    <t>NÃO CONFORME</t>
  </si>
  <si>
    <t>NÃO</t>
  </si>
  <si>
    <t xml:space="preserve">Frequência: Sob Demanda                                                                                    </t>
  </si>
  <si>
    <t>Código:</t>
  </si>
  <si>
    <t>Setor:</t>
  </si>
  <si>
    <t>Data Ação:</t>
  </si>
  <si>
    <t>Data Meta:</t>
  </si>
  <si>
    <t>Data Prazo:</t>
  </si>
  <si>
    <t>Cliente:</t>
  </si>
  <si>
    <t>1 - Coeficiente de Conformidade</t>
  </si>
  <si>
    <t>[CNPJ]</t>
  </si>
  <si>
    <t>[NOME CLIENTE]</t>
  </si>
  <si>
    <t>Gerenc. Prazo:</t>
  </si>
  <si>
    <t>Data Emissão</t>
  </si>
  <si>
    <t>Data Revisão</t>
  </si>
  <si>
    <t>XX/XX/XXXX</t>
  </si>
  <si>
    <r>
      <rPr>
        <b/>
        <sz val="10"/>
        <color rgb="FF808080"/>
        <rFont val="Arial Narrow"/>
        <family val="2"/>
      </rPr>
      <t>Versão</t>
    </r>
    <r>
      <rPr>
        <sz val="10"/>
        <color rgb="FF808080"/>
        <rFont val="Arial Narrow"/>
        <family val="2"/>
      </rPr>
      <t>: 00</t>
    </r>
  </si>
  <si>
    <t>Elaborado Por:</t>
  </si>
  <si>
    <t>Verificado Por:</t>
  </si>
  <si>
    <t>Aprovador Por:</t>
  </si>
  <si>
    <t>Pedro Victor de Hollanda Nery</t>
  </si>
  <si>
    <r>
      <t xml:space="preserve">Página </t>
    </r>
    <r>
      <rPr>
        <b/>
        <sz val="10"/>
        <color indexed="23"/>
        <rFont val="Arial Narrow"/>
        <family val="2"/>
      </rPr>
      <t>1/1</t>
    </r>
  </si>
  <si>
    <t>CONFORME</t>
  </si>
  <si>
    <t>2 | XXX</t>
  </si>
  <si>
    <t>3 | XXX</t>
  </si>
  <si>
    <t>4 | XXX</t>
  </si>
  <si>
    <t>5 | XXX</t>
  </si>
  <si>
    <t>6 | XXX</t>
  </si>
  <si>
    <t>7 | XXX</t>
  </si>
  <si>
    <t>RECÁLCULO GUIA DEPARTAMENTO FISCAL</t>
  </si>
  <si>
    <t>FIS</t>
  </si>
  <si>
    <t>FORM.FIS.001</t>
  </si>
  <si>
    <t>1 | FISCAL</t>
  </si>
  <si>
    <t>Cliente Alertado Sobre Serviço Extraordinário?</t>
  </si>
  <si>
    <t>Enviada Guia ao Cliente?</t>
  </si>
  <si>
    <t>Aberto Atendimento à Controladoria Sobre Serviço Extraordinário?</t>
  </si>
  <si>
    <t>#Thabata Araújo#</t>
  </si>
  <si>
    <t>#Erika Nascimento#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</si>
</sst>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Narrow"/>
      <family val="2"/>
    </font>
    <font>
      <sz val="6"/>
      <color theme="1"/>
      <name val="Arial Narrow"/>
      <family val="2"/>
    </font>
    <font>
      <b/>
      <sz val="10"/>
      <color rgb="FF808080"/>
      <name val="Arial Narrow"/>
      <family val="2"/>
    </font>
    <font>
      <sz val="10"/>
      <color rgb="FF808080"/>
      <name val="Arial Narrow"/>
      <family val="2"/>
    </font>
    <font>
      <b/>
      <sz val="10"/>
      <color indexed="23"/>
      <name val="Arial Narrow"/>
      <family val="2"/>
    </font>
    <font>
      <sz val="20"/>
      <color theme="1"/>
      <name val="Arial Narrow"/>
      <family val="2"/>
    </font>
    <font>
      <b/>
      <sz val="10"/>
      <color theme="1"/>
      <name val="Arial Narrow"/>
      <family val="2"/>
    </font>
    <font>
      <u/>
      <sz val="10"/>
      <color theme="10"/>
      <name val="Arial Narrow"/>
      <family val="2"/>
    </font>
    <font>
      <b/>
      <sz val="10"/>
      <color rgb="FF0000FF"/>
      <name val="Arial Narrow"/>
      <family val="2"/>
    </font>
    <font>
      <b/>
      <i/>
      <sz val="10"/>
      <color rgb="FFFF0000"/>
      <name val="Arial Narrow"/>
      <family val="2"/>
    </font>
    <font>
      <sz val="10"/>
      <color rgb="FFFF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0" fontId="3" fillId="4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0" fontId="3" fillId="4" borderId="2" xfId="1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/>
    </xf>
    <xf numFmtId="10" fontId="9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0" fillId="6" borderId="16" xfId="2" applyNumberFormat="1" applyFont="1" applyFill="1" applyBorder="1" applyAlignment="1" applyProtection="1">
      <alignment horizontal="center" vertical="center"/>
      <protection locked="0"/>
    </xf>
    <xf numFmtId="0" fontId="9" fillId="4" borderId="30" xfId="0" applyFont="1" applyFill="1" applyBorder="1" applyAlignment="1">
      <alignment vertical="center"/>
    </xf>
    <xf numFmtId="0" fontId="9" fillId="4" borderId="24" xfId="0" applyFont="1" applyFill="1" applyBorder="1" applyAlignment="1">
      <alignment vertical="center"/>
    </xf>
    <xf numFmtId="0" fontId="3" fillId="8" borderId="27" xfId="0" applyFont="1" applyFill="1" applyBorder="1" applyAlignment="1">
      <alignment horizontal="left" vertical="center"/>
    </xf>
    <xf numFmtId="10" fontId="9" fillId="2" borderId="28" xfId="0" applyNumberFormat="1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10" fontId="9" fillId="7" borderId="29" xfId="1" applyNumberFormat="1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10" fontId="9" fillId="4" borderId="2" xfId="1" applyNumberFormat="1" applyFont="1" applyFill="1" applyBorder="1" applyAlignment="1">
      <alignment horizontal="center" vertical="center"/>
    </xf>
    <xf numFmtId="10" fontId="9" fillId="4" borderId="3" xfId="1" applyNumberFormat="1" applyFont="1" applyFill="1" applyBorder="1" applyAlignment="1">
      <alignment horizontal="center" vertical="center"/>
    </xf>
    <xf numFmtId="10" fontId="9" fillId="4" borderId="4" xfId="1" applyNumberFormat="1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10" fontId="3" fillId="4" borderId="2" xfId="1" applyNumberFormat="1" applyFont="1" applyFill="1" applyBorder="1" applyAlignment="1">
      <alignment horizontal="center" vertical="center"/>
    </xf>
    <xf numFmtId="10" fontId="3" fillId="4" borderId="3" xfId="1" applyNumberFormat="1" applyFont="1" applyFill="1" applyBorder="1" applyAlignment="1">
      <alignment horizontal="center" vertical="center"/>
    </xf>
    <xf numFmtId="10" fontId="3" fillId="4" borderId="4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14" fontId="9" fillId="4" borderId="20" xfId="0" applyNumberFormat="1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3" fillId="8" borderId="23" xfId="0" applyFont="1" applyFill="1" applyBorder="1" applyAlignment="1">
      <alignment horizontal="right" vertical="center"/>
    </xf>
    <xf numFmtId="0" fontId="3" fillId="8" borderId="28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9" fillId="3" borderId="26" xfId="0" applyFont="1" applyFill="1" applyBorder="1" applyAlignment="1">
      <alignment vertical="center"/>
    </xf>
    <xf numFmtId="0" fontId="9" fillId="3" borderId="31" xfId="0" applyFont="1" applyFill="1" applyBorder="1" applyAlignment="1">
      <alignment vertical="center"/>
    </xf>
    <xf numFmtId="0" fontId="9" fillId="3" borderId="32" xfId="0" applyFont="1" applyFill="1" applyBorder="1" applyAlignment="1">
      <alignment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 wrapText="1"/>
    </xf>
    <xf numFmtId="14" fontId="6" fillId="0" borderId="38" xfId="0" applyNumberFormat="1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3">
    <cellStyle name="Hiperlink" xfId="2" builtinId="8"/>
    <cellStyle name="Normal" xfId="0" builtinId="0"/>
    <cellStyle name="Porcentagem" xfId="1" builtinId="5"/>
  </cellStyles>
  <dxfs count="3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43544</xdr:colOff>
      <xdr:row>2</xdr:row>
      <xdr:rowOff>81644</xdr:rowOff>
    </xdr:from>
    <xdr:to>
      <xdr:col>1</xdr:col>
      <xdr:colOff>778329</xdr:colOff>
      <xdr:row>3</xdr:row>
      <xdr:rowOff>55872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4" y="419101"/>
          <a:ext cx="734785" cy="175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20160428_SEMED_Sub%20Adm%20Fin_%20Contratos%20&amp;%20Licita&#231;&#245;e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47"/>
  <sheetViews>
    <sheetView showGridLines="0" tabSelected="1" zoomScale="115" zoomScaleNormal="115" workbookViewId="0">
      <pane ySplit="13" topLeftCell="A14" activePane="bottomLeft" state="frozen"/>
      <selection pane="bottomLeft" activeCell="G17" sqref="G17"/>
    </sheetView>
  </sheetViews>
  <sheetFormatPr defaultRowHeight="12.75" x14ac:dyDescent="0.25"/>
  <cols>
    <col min="1" max="1" width="1.7109375" style="1" customWidth="1"/>
    <col min="2" max="2" width="12.42578125" style="1" customWidth="1"/>
    <col min="3" max="3" width="8.85546875" style="1" customWidth="1"/>
    <col min="4" max="4" width="9.5703125" style="1" customWidth="1"/>
    <col min="5" max="5" width="13.5703125" style="1" customWidth="1"/>
    <col min="6" max="6" width="11.7109375" style="1" customWidth="1"/>
    <col min="7" max="7" width="10.28515625" style="1" customWidth="1"/>
    <col min="8" max="8" width="10.7109375" style="1" customWidth="1"/>
    <col min="9" max="10" width="13.28515625" style="1" customWidth="1"/>
    <col min="11" max="11" width="20.28515625" style="1" customWidth="1"/>
    <col min="12" max="12" width="3.5703125" style="2" hidden="1" customWidth="1"/>
    <col min="13" max="13" width="1.7109375" style="32" hidden="1" customWidth="1"/>
    <col min="14" max="16384" width="9.140625" style="1"/>
  </cols>
  <sheetData>
    <row r="1" spans="2:13" ht="13.5" thickBot="1" x14ac:dyDescent="0.3"/>
    <row r="2" spans="2:13" x14ac:dyDescent="0.25">
      <c r="B2" s="114"/>
      <c r="C2" s="23" t="s">
        <v>14</v>
      </c>
      <c r="D2" s="86" t="s">
        <v>13</v>
      </c>
      <c r="E2" s="87"/>
      <c r="F2" s="88" t="s">
        <v>39</v>
      </c>
      <c r="G2" s="89"/>
      <c r="H2" s="89"/>
      <c r="I2" s="89"/>
      <c r="J2" s="90"/>
      <c r="K2" s="122" t="s">
        <v>31</v>
      </c>
    </row>
    <row r="3" spans="2:13" ht="15.75" customHeight="1" thickBot="1" x14ac:dyDescent="0.3">
      <c r="B3" s="115"/>
      <c r="C3" s="36" t="s">
        <v>40</v>
      </c>
      <c r="D3" s="94" t="s">
        <v>41</v>
      </c>
      <c r="E3" s="95"/>
      <c r="F3" s="91"/>
      <c r="G3" s="92"/>
      <c r="H3" s="92"/>
      <c r="I3" s="92"/>
      <c r="J3" s="93"/>
      <c r="K3" s="123"/>
    </row>
    <row r="4" spans="2:13" ht="25.5" customHeight="1" thickBot="1" x14ac:dyDescent="0.3">
      <c r="B4" s="116"/>
      <c r="C4" s="117" t="s">
        <v>23</v>
      </c>
      <c r="D4" s="118"/>
      <c r="E4" s="119"/>
      <c r="F4" s="28">
        <v>45738</v>
      </c>
      <c r="G4" s="120" t="s">
        <v>24</v>
      </c>
      <c r="H4" s="121"/>
      <c r="I4" s="28" t="s">
        <v>25</v>
      </c>
      <c r="J4" s="29" t="s">
        <v>26</v>
      </c>
      <c r="K4" s="124"/>
    </row>
    <row r="5" spans="2:13" ht="6" customHeight="1" thickBot="1" x14ac:dyDescent="0.3"/>
    <row r="6" spans="2:13" ht="25.5" hidden="1" customHeight="1" x14ac:dyDescent="0.3">
      <c r="B6" s="77"/>
      <c r="C6" s="78"/>
      <c r="D6" s="78"/>
      <c r="E6" s="78"/>
      <c r="F6" s="78"/>
      <c r="G6" s="79"/>
      <c r="H6" s="79"/>
      <c r="I6" s="79"/>
      <c r="J6" s="79"/>
      <c r="K6" s="80"/>
    </row>
    <row r="7" spans="2:13" ht="15.95" customHeight="1" thickBot="1" x14ac:dyDescent="0.3">
      <c r="B7" s="101" t="s">
        <v>19</v>
      </c>
      <c r="C7" s="102"/>
      <c r="D7" s="102"/>
      <c r="E7" s="103"/>
      <c r="F7" s="14">
        <f>AVERAGE(F15)</f>
        <v>0</v>
      </c>
      <c r="G7" s="81" t="s">
        <v>7</v>
      </c>
      <c r="H7" s="82"/>
      <c r="I7" s="82"/>
      <c r="J7" s="82"/>
      <c r="K7" s="83"/>
    </row>
    <row r="8" spans="2:13" ht="15.95" customHeight="1" x14ac:dyDescent="0.25">
      <c r="B8" s="27" t="s">
        <v>22</v>
      </c>
      <c r="C8" s="84">
        <f ca="1">TODAY()</f>
        <v>46212</v>
      </c>
      <c r="D8" s="85"/>
      <c r="E8" s="24" t="str">
        <f ca="1">IF(F8&gt;30,"EM DIA",
 IF(AND(F8&lt;=30,F8&gt;15),"IMPORTANTE",
  IF(AND(F8&lt;=15,F8&gt;7),"PRIORIDADE",
   IF(AND(F8&lt;=7,F8&gt;=0),"URGENTE",
    IF(AND(F8&lt;0,F8&gt;=-30),"EM ATRASO","")))))</f>
        <v/>
      </c>
      <c r="F8" s="21">
        <f ca="1">C11-C8</f>
        <v>-46197</v>
      </c>
      <c r="G8" s="15"/>
      <c r="H8" s="8"/>
      <c r="I8" s="8"/>
      <c r="J8" s="8"/>
      <c r="K8" s="16"/>
    </row>
    <row r="9" spans="2:13" ht="16.5" customHeight="1" x14ac:dyDescent="0.25">
      <c r="B9" s="26" t="s">
        <v>15</v>
      </c>
      <c r="C9" s="62"/>
      <c r="D9" s="63"/>
      <c r="E9" s="64"/>
      <c r="F9" s="22">
        <f ca="1">C9-C8</f>
        <v>-46212</v>
      </c>
      <c r="G9" s="60" t="s">
        <v>42</v>
      </c>
      <c r="H9" s="61"/>
      <c r="I9" s="9">
        <f>G15</f>
        <v>0</v>
      </c>
      <c r="J9" s="9">
        <f>G36</f>
        <v>0</v>
      </c>
      <c r="K9" s="17" t="s">
        <v>36</v>
      </c>
      <c r="M9" s="32" t="s">
        <v>9</v>
      </c>
    </row>
    <row r="10" spans="2:13" ht="16.5" customHeight="1" x14ac:dyDescent="0.25">
      <c r="B10" s="26" t="s">
        <v>16</v>
      </c>
      <c r="C10" s="62">
        <f>C9+15</f>
        <v>15</v>
      </c>
      <c r="D10" s="63"/>
      <c r="E10" s="64"/>
      <c r="F10" s="22">
        <f ca="1">C10-C8</f>
        <v>-46197</v>
      </c>
      <c r="G10" s="60" t="s">
        <v>33</v>
      </c>
      <c r="H10" s="61"/>
      <c r="I10" s="9">
        <f>G21</f>
        <v>0</v>
      </c>
      <c r="J10" s="9">
        <f>G49</f>
        <v>0</v>
      </c>
      <c r="K10" s="17" t="s">
        <v>37</v>
      </c>
      <c r="M10" s="32" t="s">
        <v>11</v>
      </c>
    </row>
    <row r="11" spans="2:13" ht="16.5" customHeight="1" x14ac:dyDescent="0.25">
      <c r="B11" s="26" t="s">
        <v>17</v>
      </c>
      <c r="C11" s="62">
        <f>C10</f>
        <v>15</v>
      </c>
      <c r="D11" s="63"/>
      <c r="E11" s="64"/>
      <c r="F11" s="22">
        <f ca="1">C11-C8</f>
        <v>-46197</v>
      </c>
      <c r="G11" s="60" t="s">
        <v>34</v>
      </c>
      <c r="H11" s="61"/>
      <c r="I11" s="9">
        <f>G26</f>
        <v>0</v>
      </c>
      <c r="J11" s="9">
        <f>G67</f>
        <v>0</v>
      </c>
      <c r="K11" s="17" t="s">
        <v>38</v>
      </c>
      <c r="M11" s="32" t="s">
        <v>32</v>
      </c>
    </row>
    <row r="12" spans="2:13" ht="16.5" customHeight="1" thickBot="1" x14ac:dyDescent="0.3">
      <c r="B12" s="25" t="s">
        <v>18</v>
      </c>
      <c r="C12" s="104" t="s">
        <v>20</v>
      </c>
      <c r="D12" s="105"/>
      <c r="E12" s="96" t="s">
        <v>21</v>
      </c>
      <c r="F12" s="97"/>
      <c r="G12" s="98" t="s">
        <v>35</v>
      </c>
      <c r="H12" s="99"/>
      <c r="I12" s="18">
        <f>G31</f>
        <v>0</v>
      </c>
      <c r="J12" s="19" t="s">
        <v>8</v>
      </c>
      <c r="K12" s="20">
        <f>AVERAGE(I9)</f>
        <v>0</v>
      </c>
      <c r="M12" s="32" t="s">
        <v>10</v>
      </c>
    </row>
    <row r="13" spans="2:13" ht="16.5" customHeight="1" x14ac:dyDescent="0.25">
      <c r="B13" s="10"/>
      <c r="C13" s="10"/>
      <c r="D13" s="10"/>
      <c r="E13" s="10"/>
      <c r="F13" s="10"/>
      <c r="G13" s="11"/>
      <c r="H13" s="11"/>
      <c r="I13" s="12"/>
      <c r="J13" s="6"/>
      <c r="K13" s="13"/>
    </row>
    <row r="14" spans="2:13" ht="15.95" customHeight="1" x14ac:dyDescent="0.25">
      <c r="B14" s="55" t="s">
        <v>42</v>
      </c>
      <c r="C14" s="55" t="s">
        <v>0</v>
      </c>
      <c r="D14" s="55" t="s">
        <v>0</v>
      </c>
      <c r="E14" s="55" t="s">
        <v>0</v>
      </c>
      <c r="F14" s="55" t="s">
        <v>0</v>
      </c>
      <c r="G14" s="3" t="s">
        <v>1</v>
      </c>
      <c r="H14" s="56"/>
      <c r="I14" s="56"/>
      <c r="J14" s="56"/>
      <c r="K14" s="56"/>
    </row>
    <row r="15" spans="2:13" ht="15.95" customHeight="1" x14ac:dyDescent="0.25">
      <c r="B15" s="30" t="s">
        <v>2</v>
      </c>
      <c r="C15" s="31"/>
      <c r="D15" s="31"/>
      <c r="E15" s="31"/>
      <c r="F15" s="4">
        <f>AVERAGE(M16:M18)</f>
        <v>0</v>
      </c>
      <c r="G15" s="4">
        <f>M19</f>
        <v>0</v>
      </c>
      <c r="H15" s="57"/>
      <c r="I15" s="58"/>
      <c r="J15" s="58"/>
      <c r="K15" s="59"/>
    </row>
    <row r="16" spans="2:13" ht="16.5" customHeight="1" x14ac:dyDescent="0.25">
      <c r="B16" s="37" t="s">
        <v>43</v>
      </c>
      <c r="C16" s="37"/>
      <c r="D16" s="37"/>
      <c r="E16" s="37"/>
      <c r="F16" s="37"/>
      <c r="G16" s="5"/>
      <c r="H16" s="65"/>
      <c r="I16" s="66"/>
      <c r="J16" s="66"/>
      <c r="K16" s="67"/>
      <c r="L16" s="2" t="str">
        <f t="shared" ref="L16" si="0">IF(G16&gt;="SIM","100%","0%")</f>
        <v>0%</v>
      </c>
      <c r="M16" s="32">
        <f t="shared" ref="M16:M18" si="1">AVERAGE(IF(G16&gt;="SIM","100%","0%"))</f>
        <v>0</v>
      </c>
    </row>
    <row r="17" spans="2:13" ht="16.5" customHeight="1" x14ac:dyDescent="0.25">
      <c r="B17" s="37" t="s">
        <v>44</v>
      </c>
      <c r="C17" s="37"/>
      <c r="D17" s="37"/>
      <c r="E17" s="37"/>
      <c r="F17" s="37"/>
      <c r="G17" s="5"/>
      <c r="H17" s="33"/>
      <c r="I17" s="34"/>
      <c r="J17" s="34"/>
      <c r="K17" s="35"/>
      <c r="M17" s="32">
        <f t="shared" si="1"/>
        <v>0</v>
      </c>
    </row>
    <row r="18" spans="2:13" ht="16.5" customHeight="1" x14ac:dyDescent="0.25">
      <c r="B18" s="37" t="s">
        <v>45</v>
      </c>
      <c r="C18" s="37"/>
      <c r="D18" s="37"/>
      <c r="E18" s="37"/>
      <c r="F18" s="37"/>
      <c r="G18" s="5"/>
      <c r="H18" s="65"/>
      <c r="I18" s="66"/>
      <c r="J18" s="66"/>
      <c r="K18" s="67"/>
      <c r="M18" s="32">
        <f t="shared" si="1"/>
        <v>0</v>
      </c>
    </row>
    <row r="19" spans="2:13" ht="15.75" customHeight="1" x14ac:dyDescent="0.25">
      <c r="B19" s="47" t="s">
        <v>6</v>
      </c>
      <c r="C19" s="48"/>
      <c r="D19" s="48"/>
      <c r="E19" s="49"/>
      <c r="F19" s="50" t="s">
        <v>10</v>
      </c>
      <c r="G19" s="51"/>
      <c r="H19" s="52"/>
      <c r="I19" s="53"/>
      <c r="J19" s="53"/>
      <c r="K19" s="54"/>
      <c r="M19" s="32">
        <f>AVERAGE(IF(F19&gt;="NÃO CONFORME","0%","100%"))</f>
        <v>0</v>
      </c>
    </row>
    <row r="20" spans="2:13" ht="15.95" hidden="1" customHeight="1" x14ac:dyDescent="0.25">
      <c r="B20" s="55" t="s">
        <v>33</v>
      </c>
      <c r="C20" s="55" t="s">
        <v>0</v>
      </c>
      <c r="D20" s="55" t="s">
        <v>0</v>
      </c>
      <c r="E20" s="55" t="s">
        <v>0</v>
      </c>
      <c r="F20" s="55" t="s">
        <v>0</v>
      </c>
      <c r="G20" s="3" t="s">
        <v>1</v>
      </c>
      <c r="H20" s="68"/>
      <c r="I20" s="69"/>
      <c r="J20" s="69"/>
      <c r="K20" s="70"/>
    </row>
    <row r="21" spans="2:13" ht="15.95" hidden="1" customHeight="1" x14ac:dyDescent="0.25">
      <c r="B21" s="71" t="s">
        <v>2</v>
      </c>
      <c r="C21" s="72"/>
      <c r="D21" s="72"/>
      <c r="E21" s="73"/>
      <c r="F21" s="4">
        <f>AVERAGE(M22,M23)</f>
        <v>0</v>
      </c>
      <c r="G21" s="4">
        <f>M24</f>
        <v>0</v>
      </c>
      <c r="H21" s="74"/>
      <c r="I21" s="75"/>
      <c r="J21" s="75"/>
      <c r="K21" s="76"/>
    </row>
    <row r="22" spans="2:13" ht="15.95" hidden="1" customHeight="1" x14ac:dyDescent="0.25">
      <c r="B22" s="37"/>
      <c r="C22" s="37"/>
      <c r="D22" s="37"/>
      <c r="E22" s="37"/>
      <c r="F22" s="37"/>
      <c r="G22" s="5"/>
      <c r="H22" s="41"/>
      <c r="I22" s="42"/>
      <c r="J22" s="42"/>
      <c r="K22" s="43"/>
      <c r="L22" s="2" t="str">
        <f t="shared" ref="L22:L28" si="2">IF(G22&gt;="SIM","100%","0%")</f>
        <v>0%</v>
      </c>
      <c r="M22" s="32">
        <f>AVERAGE(IF(G22&gt;="SIM","100%","0%"))</f>
        <v>0</v>
      </c>
    </row>
    <row r="23" spans="2:13" ht="15.95" hidden="1" customHeight="1" x14ac:dyDescent="0.25">
      <c r="B23" s="37"/>
      <c r="C23" s="37"/>
      <c r="D23" s="37"/>
      <c r="E23" s="37"/>
      <c r="F23" s="37"/>
      <c r="G23" s="5"/>
      <c r="H23" s="41"/>
      <c r="I23" s="42"/>
      <c r="J23" s="42"/>
      <c r="K23" s="43"/>
      <c r="L23" s="2" t="str">
        <f t="shared" si="2"/>
        <v>0%</v>
      </c>
      <c r="M23" s="32">
        <f t="shared" ref="M23:M28" si="3">AVERAGE(IF(G23&gt;="SIM","100%","0%"))</f>
        <v>0</v>
      </c>
    </row>
    <row r="24" spans="2:13" ht="15.75" hidden="1" customHeight="1" x14ac:dyDescent="0.25">
      <c r="B24" s="47" t="s">
        <v>6</v>
      </c>
      <c r="C24" s="48"/>
      <c r="D24" s="48"/>
      <c r="E24" s="49"/>
      <c r="F24" s="50" t="s">
        <v>10</v>
      </c>
      <c r="G24" s="51"/>
      <c r="H24" s="52"/>
      <c r="I24" s="53"/>
      <c r="J24" s="53"/>
      <c r="K24" s="54"/>
      <c r="M24" s="32">
        <f>AVERAGE(IF(F24&gt;="NÃO CONFORME","0%","100%"))</f>
        <v>0</v>
      </c>
    </row>
    <row r="25" spans="2:13" ht="15.95" hidden="1" customHeight="1" x14ac:dyDescent="0.25">
      <c r="B25" s="55" t="s">
        <v>34</v>
      </c>
      <c r="C25" s="55" t="s">
        <v>0</v>
      </c>
      <c r="D25" s="55" t="s">
        <v>0</v>
      </c>
      <c r="E25" s="55" t="s">
        <v>0</v>
      </c>
      <c r="F25" s="55" t="s">
        <v>0</v>
      </c>
      <c r="G25" s="3" t="s">
        <v>1</v>
      </c>
      <c r="H25" s="68"/>
      <c r="I25" s="69"/>
      <c r="J25" s="69"/>
      <c r="K25" s="70"/>
      <c r="L25" s="2" t="str">
        <f t="shared" si="2"/>
        <v>100%</v>
      </c>
    </row>
    <row r="26" spans="2:13" ht="15.95" hidden="1" customHeight="1" x14ac:dyDescent="0.25">
      <c r="B26" s="71" t="s">
        <v>2</v>
      </c>
      <c r="C26" s="72"/>
      <c r="D26" s="72"/>
      <c r="E26" s="73"/>
      <c r="F26" s="4">
        <f>AVERAGE(M27:M28)</f>
        <v>0</v>
      </c>
      <c r="G26" s="4">
        <f>M29</f>
        <v>0</v>
      </c>
      <c r="H26" s="74"/>
      <c r="I26" s="75"/>
      <c r="J26" s="75"/>
      <c r="K26" s="76"/>
      <c r="L26" s="2" t="str">
        <f>IF(G26&gt;="SIM","100%","0%")</f>
        <v>0%</v>
      </c>
    </row>
    <row r="27" spans="2:13" ht="15.95" hidden="1" customHeight="1" x14ac:dyDescent="0.25">
      <c r="B27" s="37"/>
      <c r="C27" s="37"/>
      <c r="D27" s="37"/>
      <c r="E27" s="37"/>
      <c r="F27" s="37"/>
      <c r="G27" s="5"/>
      <c r="H27" s="41"/>
      <c r="I27" s="42"/>
      <c r="J27" s="42"/>
      <c r="K27" s="43"/>
      <c r="M27" s="32">
        <f t="shared" si="3"/>
        <v>0</v>
      </c>
    </row>
    <row r="28" spans="2:13" ht="15.95" hidden="1" customHeight="1" x14ac:dyDescent="0.25">
      <c r="B28" s="37"/>
      <c r="C28" s="37"/>
      <c r="D28" s="37"/>
      <c r="E28" s="37"/>
      <c r="F28" s="37"/>
      <c r="G28" s="5"/>
      <c r="H28" s="41"/>
      <c r="I28" s="42"/>
      <c r="J28" s="42"/>
      <c r="K28" s="43"/>
      <c r="L28" s="2" t="str">
        <f t="shared" si="2"/>
        <v>0%</v>
      </c>
      <c r="M28" s="32">
        <f t="shared" si="3"/>
        <v>0</v>
      </c>
    </row>
    <row r="29" spans="2:13" ht="15.75" hidden="1" customHeight="1" x14ac:dyDescent="0.25">
      <c r="B29" s="47" t="s">
        <v>6</v>
      </c>
      <c r="C29" s="48"/>
      <c r="D29" s="48"/>
      <c r="E29" s="49"/>
      <c r="F29" s="50" t="s">
        <v>10</v>
      </c>
      <c r="G29" s="51"/>
      <c r="H29" s="52"/>
      <c r="I29" s="53"/>
      <c r="J29" s="53"/>
      <c r="K29" s="54"/>
      <c r="M29" s="32">
        <f>AVERAGE(IF(F29&gt;="NÃO CONFORME","0%","100%"))</f>
        <v>0</v>
      </c>
    </row>
    <row r="30" spans="2:13" ht="15.95" hidden="1" customHeight="1" x14ac:dyDescent="0.25">
      <c r="B30" s="55" t="s">
        <v>35</v>
      </c>
      <c r="C30" s="55" t="s">
        <v>0</v>
      </c>
      <c r="D30" s="55" t="s">
        <v>0</v>
      </c>
      <c r="E30" s="55" t="s">
        <v>0</v>
      </c>
      <c r="F30" s="55" t="s">
        <v>0</v>
      </c>
      <c r="G30" s="3" t="s">
        <v>1</v>
      </c>
      <c r="H30" s="68"/>
      <c r="I30" s="69"/>
      <c r="J30" s="69"/>
      <c r="K30" s="70"/>
    </row>
    <row r="31" spans="2:13" ht="15.95" hidden="1" customHeight="1" x14ac:dyDescent="0.25">
      <c r="B31" s="108" t="s">
        <v>2</v>
      </c>
      <c r="C31" s="109"/>
      <c r="D31" s="109"/>
      <c r="E31" s="110"/>
      <c r="F31" s="4">
        <f>AVERAGE(M32:M33)</f>
        <v>0</v>
      </c>
      <c r="G31" s="7">
        <f>M34</f>
        <v>0</v>
      </c>
      <c r="H31" s="111"/>
      <c r="I31" s="112"/>
      <c r="J31" s="112"/>
      <c r="K31" s="113"/>
    </row>
    <row r="32" spans="2:13" ht="15.95" hidden="1" customHeight="1" x14ac:dyDescent="0.25">
      <c r="B32" s="37"/>
      <c r="C32" s="37"/>
      <c r="D32" s="37"/>
      <c r="E32" s="37"/>
      <c r="F32" s="37"/>
      <c r="G32" s="5"/>
      <c r="H32" s="41"/>
      <c r="I32" s="42"/>
      <c r="J32" s="42"/>
      <c r="K32" s="43"/>
      <c r="M32" s="32">
        <f t="shared" ref="M32:M33" si="4">AVERAGE(IF(G32&gt;="SIM","100%","0%"))</f>
        <v>0</v>
      </c>
    </row>
    <row r="33" spans="2:13" ht="15.95" hidden="1" customHeight="1" x14ac:dyDescent="0.25">
      <c r="B33" s="37"/>
      <c r="C33" s="37"/>
      <c r="D33" s="37"/>
      <c r="E33" s="37"/>
      <c r="F33" s="37"/>
      <c r="G33" s="5"/>
      <c r="H33" s="41"/>
      <c r="I33" s="42"/>
      <c r="J33" s="42"/>
      <c r="K33" s="43"/>
      <c r="L33" s="2" t="str">
        <f>IF(G33&gt;="SIM","100%","0%")</f>
        <v>0%</v>
      </c>
      <c r="M33" s="32">
        <f t="shared" si="4"/>
        <v>0</v>
      </c>
    </row>
    <row r="34" spans="2:13" ht="15.75" hidden="1" customHeight="1" x14ac:dyDescent="0.25">
      <c r="B34" s="47" t="s">
        <v>6</v>
      </c>
      <c r="C34" s="48"/>
      <c r="D34" s="48"/>
      <c r="E34" s="49"/>
      <c r="F34" s="50" t="s">
        <v>10</v>
      </c>
      <c r="G34" s="51"/>
      <c r="H34" s="52"/>
      <c r="I34" s="53"/>
      <c r="J34" s="53"/>
      <c r="K34" s="54"/>
      <c r="M34" s="32">
        <f>AVERAGE(IF(F34&gt;="NÃO CONFORME","0%","100%"))</f>
        <v>0</v>
      </c>
    </row>
    <row r="35" spans="2:13" ht="15.95" hidden="1" customHeight="1" x14ac:dyDescent="0.25">
      <c r="B35" s="55" t="s">
        <v>36</v>
      </c>
      <c r="C35" s="55" t="s">
        <v>0</v>
      </c>
      <c r="D35" s="55" t="s">
        <v>0</v>
      </c>
      <c r="E35" s="55" t="s">
        <v>0</v>
      </c>
      <c r="F35" s="55" t="s">
        <v>0</v>
      </c>
      <c r="G35" s="3" t="s">
        <v>1</v>
      </c>
      <c r="H35" s="68"/>
      <c r="I35" s="69"/>
      <c r="J35" s="69"/>
      <c r="K35" s="70"/>
    </row>
    <row r="36" spans="2:13" ht="15.95" hidden="1" customHeight="1" x14ac:dyDescent="0.25">
      <c r="B36" s="108" t="s">
        <v>2</v>
      </c>
      <c r="C36" s="109"/>
      <c r="D36" s="109"/>
      <c r="E36" s="110"/>
      <c r="F36" s="4">
        <f>AVERAGE(M37:M46)</f>
        <v>0</v>
      </c>
      <c r="G36" s="7">
        <f>M47</f>
        <v>0</v>
      </c>
      <c r="H36" s="111"/>
      <c r="I36" s="112"/>
      <c r="J36" s="112"/>
      <c r="K36" s="113"/>
    </row>
    <row r="37" spans="2:13" ht="15.95" hidden="1" customHeight="1" x14ac:dyDescent="0.25">
      <c r="B37" s="37"/>
      <c r="C37" s="37"/>
      <c r="D37" s="37"/>
      <c r="E37" s="37"/>
      <c r="F37" s="37"/>
      <c r="G37" s="5"/>
      <c r="H37" s="41"/>
      <c r="I37" s="42"/>
      <c r="J37" s="42"/>
      <c r="K37" s="43"/>
      <c r="M37" s="32">
        <f t="shared" ref="M37" si="5">AVERAGE(IF(G37&gt;="SIM","100%","0%"))</f>
        <v>0</v>
      </c>
    </row>
    <row r="38" spans="2:13" ht="15.95" hidden="1" customHeight="1" x14ac:dyDescent="0.25">
      <c r="B38" s="37"/>
      <c r="C38" s="37"/>
      <c r="D38" s="37"/>
      <c r="E38" s="37"/>
      <c r="F38" s="37"/>
      <c r="G38" s="5"/>
      <c r="H38" s="41"/>
      <c r="I38" s="42"/>
      <c r="J38" s="42"/>
      <c r="K38" s="43"/>
      <c r="L38" s="2" t="str">
        <f>IF(G38&gt;="SIM","100%","0%")</f>
        <v>0%</v>
      </c>
      <c r="M38" s="32">
        <f t="shared" ref="M38" si="6">AVERAGE(IF(G38&gt;="SIM","100%","0%"))</f>
        <v>0</v>
      </c>
    </row>
    <row r="39" spans="2:13" ht="15.95" hidden="1" customHeight="1" x14ac:dyDescent="0.25">
      <c r="B39" s="38"/>
      <c r="C39" s="39"/>
      <c r="D39" s="39"/>
      <c r="E39" s="39"/>
      <c r="F39" s="40"/>
      <c r="G39" s="5"/>
      <c r="H39" s="41"/>
      <c r="I39" s="42"/>
      <c r="J39" s="42"/>
      <c r="K39" s="43"/>
      <c r="L39" s="2" t="str">
        <f>IF(G39&gt;="SIM","100%","0%")</f>
        <v>0%</v>
      </c>
      <c r="M39" s="32">
        <f t="shared" ref="M39" si="7">AVERAGE(IF(G39&gt;="SIM","100%","0%"))</f>
        <v>0</v>
      </c>
    </row>
    <row r="40" spans="2:13" ht="15.95" hidden="1" customHeight="1" x14ac:dyDescent="0.25">
      <c r="B40" s="38"/>
      <c r="C40" s="39"/>
      <c r="D40" s="39"/>
      <c r="E40" s="39"/>
      <c r="F40" s="40"/>
      <c r="G40" s="5"/>
      <c r="H40" s="41"/>
      <c r="I40" s="42"/>
      <c r="J40" s="42"/>
      <c r="K40" s="43"/>
      <c r="L40" s="2" t="str">
        <f>IF(G40&gt;="SIM","100%","0%")</f>
        <v>0%</v>
      </c>
      <c r="M40" s="32">
        <f t="shared" ref="M40:M45" si="8">AVERAGE(IF(G40&gt;="SIM","100%","0%"))</f>
        <v>0</v>
      </c>
    </row>
    <row r="41" spans="2:13" ht="15.95" hidden="1" customHeight="1" x14ac:dyDescent="0.25">
      <c r="B41" s="38"/>
      <c r="C41" s="39"/>
      <c r="D41" s="39"/>
      <c r="E41" s="39"/>
      <c r="F41" s="40"/>
      <c r="G41" s="5"/>
      <c r="H41" s="41"/>
      <c r="I41" s="42"/>
      <c r="J41" s="42"/>
      <c r="K41" s="43"/>
      <c r="M41" s="32">
        <f t="shared" si="8"/>
        <v>0</v>
      </c>
    </row>
    <row r="42" spans="2:13" ht="15.95" hidden="1" customHeight="1" x14ac:dyDescent="0.25">
      <c r="B42" s="38"/>
      <c r="C42" s="39"/>
      <c r="D42" s="39"/>
      <c r="E42" s="39"/>
      <c r="F42" s="40"/>
      <c r="G42" s="5"/>
      <c r="H42" s="41"/>
      <c r="I42" s="42"/>
      <c r="J42" s="42"/>
      <c r="K42" s="43"/>
      <c r="M42" s="32">
        <f t="shared" si="8"/>
        <v>0</v>
      </c>
    </row>
    <row r="43" spans="2:13" ht="15.95" hidden="1" customHeight="1" x14ac:dyDescent="0.25">
      <c r="B43" s="38"/>
      <c r="C43" s="39"/>
      <c r="D43" s="39"/>
      <c r="E43" s="39"/>
      <c r="F43" s="40"/>
      <c r="G43" s="5"/>
      <c r="H43" s="41"/>
      <c r="I43" s="42"/>
      <c r="J43" s="42"/>
      <c r="K43" s="43"/>
      <c r="M43" s="32">
        <f t="shared" si="8"/>
        <v>0</v>
      </c>
    </row>
    <row r="44" spans="2:13" ht="15.95" hidden="1" customHeight="1" x14ac:dyDescent="0.25">
      <c r="B44" s="38"/>
      <c r="C44" s="39"/>
      <c r="D44" s="39"/>
      <c r="E44" s="39"/>
      <c r="F44" s="40"/>
      <c r="G44" s="5"/>
      <c r="H44" s="41"/>
      <c r="I44" s="42"/>
      <c r="J44" s="42"/>
      <c r="K44" s="43"/>
      <c r="M44" s="32">
        <f t="shared" si="8"/>
        <v>0</v>
      </c>
    </row>
    <row r="45" spans="2:13" ht="15.95" hidden="1" customHeight="1" x14ac:dyDescent="0.25">
      <c r="B45" s="38"/>
      <c r="C45" s="39"/>
      <c r="D45" s="39"/>
      <c r="E45" s="39"/>
      <c r="F45" s="40"/>
      <c r="G45" s="5"/>
      <c r="H45" s="41"/>
      <c r="I45" s="42"/>
      <c r="J45" s="42"/>
      <c r="K45" s="43"/>
      <c r="M45" s="32">
        <f t="shared" si="8"/>
        <v>0</v>
      </c>
    </row>
    <row r="46" spans="2:13" ht="16.5" hidden="1" customHeight="1" x14ac:dyDescent="0.25">
      <c r="B46" s="38"/>
      <c r="C46" s="39"/>
      <c r="D46" s="39"/>
      <c r="E46" s="39"/>
      <c r="F46" s="40"/>
      <c r="G46" s="5"/>
      <c r="H46" s="41"/>
      <c r="I46" s="42"/>
      <c r="J46" s="42"/>
      <c r="K46" s="43"/>
      <c r="L46" s="2" t="str">
        <f>IF(G46&gt;="SIM","100%","0%")</f>
        <v>0%</v>
      </c>
      <c r="M46" s="32">
        <f t="shared" ref="M46" si="9">AVERAGE(IF(G46&gt;="SIM","100%","0%"))</f>
        <v>0</v>
      </c>
    </row>
    <row r="47" spans="2:13" ht="15.75" hidden="1" customHeight="1" x14ac:dyDescent="0.25">
      <c r="B47" s="47" t="s">
        <v>6</v>
      </c>
      <c r="C47" s="48"/>
      <c r="D47" s="48"/>
      <c r="E47" s="49"/>
      <c r="F47" s="50" t="s">
        <v>10</v>
      </c>
      <c r="G47" s="51"/>
      <c r="H47" s="52"/>
      <c r="I47" s="53"/>
      <c r="J47" s="53"/>
      <c r="K47" s="54"/>
      <c r="M47" s="32">
        <f>AVERAGE(IF(F47&gt;="NÃO CONFORME","0%","100%"))</f>
        <v>0</v>
      </c>
    </row>
    <row r="48" spans="2:13" ht="15.95" hidden="1" customHeight="1" x14ac:dyDescent="0.25">
      <c r="B48" s="55" t="s">
        <v>37</v>
      </c>
      <c r="C48" s="55" t="s">
        <v>0</v>
      </c>
      <c r="D48" s="55" t="s">
        <v>0</v>
      </c>
      <c r="E48" s="55" t="s">
        <v>0</v>
      </c>
      <c r="F48" s="55" t="s">
        <v>0</v>
      </c>
      <c r="G48" s="3" t="s">
        <v>1</v>
      </c>
      <c r="H48" s="68"/>
      <c r="I48" s="69"/>
      <c r="J48" s="69"/>
      <c r="K48" s="70"/>
    </row>
    <row r="49" spans="2:13" ht="15.95" hidden="1" customHeight="1" x14ac:dyDescent="0.25">
      <c r="B49" s="108" t="s">
        <v>2</v>
      </c>
      <c r="C49" s="109"/>
      <c r="D49" s="109"/>
      <c r="E49" s="110"/>
      <c r="F49" s="4">
        <f>AVERAGE(M50:M64)</f>
        <v>0</v>
      </c>
      <c r="G49" s="7">
        <f>M65</f>
        <v>0</v>
      </c>
      <c r="H49" s="111"/>
      <c r="I49" s="112"/>
      <c r="J49" s="112"/>
      <c r="K49" s="113"/>
    </row>
    <row r="50" spans="2:13" ht="15.95" hidden="1" customHeight="1" x14ac:dyDescent="0.25">
      <c r="B50" s="44"/>
      <c r="C50" s="45"/>
      <c r="D50" s="45"/>
      <c r="E50" s="45"/>
      <c r="F50" s="46"/>
      <c r="G50" s="5"/>
      <c r="H50" s="41"/>
      <c r="I50" s="42"/>
      <c r="J50" s="42"/>
      <c r="K50" s="43"/>
      <c r="M50" s="32">
        <f t="shared" ref="M50" si="10">AVERAGE(IF(G50&gt;="SIM","100%","0%"))</f>
        <v>0</v>
      </c>
    </row>
    <row r="51" spans="2:13" ht="15.95" hidden="1" customHeight="1" x14ac:dyDescent="0.25">
      <c r="B51" s="37"/>
      <c r="C51" s="37"/>
      <c r="D51" s="37"/>
      <c r="E51" s="37"/>
      <c r="F51" s="37"/>
      <c r="G51" s="5"/>
      <c r="H51" s="41"/>
      <c r="I51" s="42"/>
      <c r="J51" s="42"/>
      <c r="K51" s="43"/>
      <c r="L51" s="2" t="str">
        <f>IF(G51&gt;="SIM","100%","0%")</f>
        <v>0%</v>
      </c>
      <c r="M51" s="32">
        <f t="shared" ref="M51" si="11">AVERAGE(IF(G51&gt;="SIM","100%","0%"))</f>
        <v>0</v>
      </c>
    </row>
    <row r="52" spans="2:13" ht="15.95" hidden="1" customHeight="1" x14ac:dyDescent="0.25">
      <c r="B52" s="38"/>
      <c r="C52" s="39"/>
      <c r="D52" s="39"/>
      <c r="E52" s="39"/>
      <c r="F52" s="40"/>
      <c r="G52" s="5"/>
      <c r="H52" s="41"/>
      <c r="I52" s="42"/>
      <c r="J52" s="42"/>
      <c r="K52" s="43"/>
      <c r="L52" s="2" t="str">
        <f>IF(G52&gt;="SIM","100%","0%")</f>
        <v>0%</v>
      </c>
      <c r="M52" s="32">
        <f t="shared" ref="M52" si="12">AVERAGE(IF(G52&gt;="SIM","100%","0%"))</f>
        <v>0</v>
      </c>
    </row>
    <row r="53" spans="2:13" ht="15.95" hidden="1" customHeight="1" x14ac:dyDescent="0.25">
      <c r="B53" s="38"/>
      <c r="C53" s="39"/>
      <c r="D53" s="39"/>
      <c r="E53" s="39"/>
      <c r="F53" s="40"/>
      <c r="G53" s="5"/>
      <c r="H53" s="41"/>
      <c r="I53" s="42"/>
      <c r="J53" s="42"/>
      <c r="K53" s="43"/>
      <c r="L53" s="2" t="str">
        <f>IF(G53&gt;="SIM","100%","0%")</f>
        <v>0%</v>
      </c>
      <c r="M53" s="32">
        <f t="shared" ref="M53:M64" si="13">AVERAGE(IF(G53&gt;="SIM","100%","0%"))</f>
        <v>0</v>
      </c>
    </row>
    <row r="54" spans="2:13" ht="15.95" hidden="1" customHeight="1" x14ac:dyDescent="0.25">
      <c r="B54" s="38"/>
      <c r="C54" s="39"/>
      <c r="D54" s="39"/>
      <c r="E54" s="39"/>
      <c r="F54" s="40"/>
      <c r="G54" s="5"/>
      <c r="H54" s="41"/>
      <c r="I54" s="42"/>
      <c r="J54" s="42"/>
      <c r="K54" s="43"/>
      <c r="M54" s="32">
        <f t="shared" si="13"/>
        <v>0</v>
      </c>
    </row>
    <row r="55" spans="2:13" ht="15.95" hidden="1" customHeight="1" x14ac:dyDescent="0.25">
      <c r="B55" s="38"/>
      <c r="C55" s="39"/>
      <c r="D55" s="39"/>
      <c r="E55" s="39"/>
      <c r="F55" s="40"/>
      <c r="G55" s="5"/>
      <c r="H55" s="41"/>
      <c r="I55" s="42"/>
      <c r="J55" s="42"/>
      <c r="K55" s="43"/>
      <c r="M55" s="32">
        <f t="shared" si="13"/>
        <v>0</v>
      </c>
    </row>
    <row r="56" spans="2:13" ht="15.95" hidden="1" customHeight="1" x14ac:dyDescent="0.25">
      <c r="B56" s="38"/>
      <c r="C56" s="39"/>
      <c r="D56" s="39"/>
      <c r="E56" s="39"/>
      <c r="F56" s="40"/>
      <c r="G56" s="5"/>
      <c r="H56" s="41"/>
      <c r="I56" s="42"/>
      <c r="J56" s="42"/>
      <c r="K56" s="43"/>
      <c r="M56" s="32">
        <f t="shared" si="13"/>
        <v>0</v>
      </c>
    </row>
    <row r="57" spans="2:13" ht="15.95" hidden="1" customHeight="1" x14ac:dyDescent="0.25">
      <c r="B57" s="38"/>
      <c r="C57" s="39"/>
      <c r="D57" s="39"/>
      <c r="E57" s="39"/>
      <c r="F57" s="40"/>
      <c r="G57" s="5"/>
      <c r="H57" s="41"/>
      <c r="I57" s="42"/>
      <c r="J57" s="42"/>
      <c r="K57" s="43"/>
      <c r="M57" s="32">
        <f t="shared" si="13"/>
        <v>0</v>
      </c>
    </row>
    <row r="58" spans="2:13" ht="15.95" hidden="1" customHeight="1" x14ac:dyDescent="0.25">
      <c r="B58" s="38"/>
      <c r="C58" s="39"/>
      <c r="D58" s="39"/>
      <c r="E58" s="39"/>
      <c r="F58" s="40"/>
      <c r="G58" s="5"/>
      <c r="H58" s="41"/>
      <c r="I58" s="42"/>
      <c r="J58" s="42"/>
      <c r="K58" s="43"/>
      <c r="M58" s="32">
        <f t="shared" si="13"/>
        <v>0</v>
      </c>
    </row>
    <row r="59" spans="2:13" ht="15.95" hidden="1" customHeight="1" x14ac:dyDescent="0.25">
      <c r="B59" s="38"/>
      <c r="C59" s="39"/>
      <c r="D59" s="39"/>
      <c r="E59" s="39"/>
      <c r="F59" s="40"/>
      <c r="G59" s="5"/>
      <c r="H59" s="41"/>
      <c r="I59" s="42"/>
      <c r="J59" s="42"/>
      <c r="K59" s="43"/>
      <c r="M59" s="32">
        <f t="shared" si="13"/>
        <v>0</v>
      </c>
    </row>
    <row r="60" spans="2:13" ht="15.95" hidden="1" customHeight="1" x14ac:dyDescent="0.25">
      <c r="B60" s="38"/>
      <c r="C60" s="39"/>
      <c r="D60" s="39"/>
      <c r="E60" s="39"/>
      <c r="F60" s="40"/>
      <c r="G60" s="5"/>
      <c r="H60" s="41"/>
      <c r="I60" s="42"/>
      <c r="J60" s="42"/>
      <c r="K60" s="43"/>
      <c r="M60" s="32">
        <f t="shared" si="13"/>
        <v>0</v>
      </c>
    </row>
    <row r="61" spans="2:13" ht="15.95" hidden="1" customHeight="1" x14ac:dyDescent="0.25">
      <c r="B61" s="38"/>
      <c r="C61" s="39"/>
      <c r="D61" s="39"/>
      <c r="E61" s="39"/>
      <c r="F61" s="40"/>
      <c r="G61" s="5"/>
      <c r="H61" s="41"/>
      <c r="I61" s="42"/>
      <c r="J61" s="42"/>
      <c r="K61" s="43"/>
      <c r="M61" s="32">
        <f t="shared" si="13"/>
        <v>0</v>
      </c>
    </row>
    <row r="62" spans="2:13" ht="15.95" hidden="1" customHeight="1" x14ac:dyDescent="0.25">
      <c r="B62" s="38"/>
      <c r="C62" s="39"/>
      <c r="D62" s="39"/>
      <c r="E62" s="39"/>
      <c r="F62" s="40"/>
      <c r="G62" s="5"/>
      <c r="H62" s="41"/>
      <c r="I62" s="42"/>
      <c r="J62" s="42"/>
      <c r="K62" s="43"/>
      <c r="M62" s="32">
        <f t="shared" si="13"/>
        <v>0</v>
      </c>
    </row>
    <row r="63" spans="2:13" ht="15.95" hidden="1" customHeight="1" x14ac:dyDescent="0.25">
      <c r="B63" s="38"/>
      <c r="C63" s="39"/>
      <c r="D63" s="39"/>
      <c r="E63" s="39"/>
      <c r="F63" s="40"/>
      <c r="G63" s="5"/>
      <c r="H63" s="41"/>
      <c r="I63" s="42"/>
      <c r="J63" s="42"/>
      <c r="K63" s="43"/>
      <c r="M63" s="32">
        <f t="shared" si="13"/>
        <v>0</v>
      </c>
    </row>
    <row r="64" spans="2:13" ht="15.95" hidden="1" customHeight="1" x14ac:dyDescent="0.25">
      <c r="B64" s="38"/>
      <c r="C64" s="39"/>
      <c r="D64" s="39"/>
      <c r="E64" s="39"/>
      <c r="F64" s="40"/>
      <c r="G64" s="5"/>
      <c r="H64" s="41"/>
      <c r="I64" s="42"/>
      <c r="J64" s="42"/>
      <c r="K64" s="43"/>
      <c r="M64" s="32">
        <f t="shared" si="13"/>
        <v>0</v>
      </c>
    </row>
    <row r="65" spans="2:13" ht="15.75" hidden="1" customHeight="1" x14ac:dyDescent="0.25">
      <c r="B65" s="47" t="s">
        <v>6</v>
      </c>
      <c r="C65" s="48"/>
      <c r="D65" s="48"/>
      <c r="E65" s="49"/>
      <c r="F65" s="50" t="s">
        <v>10</v>
      </c>
      <c r="G65" s="51"/>
      <c r="H65" s="52"/>
      <c r="I65" s="53"/>
      <c r="J65" s="53"/>
      <c r="K65" s="54"/>
      <c r="M65" s="32">
        <f>AVERAGE(IF(F65&gt;="NÃO CONFORME","0%","100%"))</f>
        <v>0</v>
      </c>
    </row>
    <row r="66" spans="2:13" ht="15.95" hidden="1" customHeight="1" x14ac:dyDescent="0.25">
      <c r="B66" s="55" t="s">
        <v>38</v>
      </c>
      <c r="C66" s="55" t="s">
        <v>0</v>
      </c>
      <c r="D66" s="55" t="s">
        <v>0</v>
      </c>
      <c r="E66" s="55" t="s">
        <v>0</v>
      </c>
      <c r="F66" s="55" t="s">
        <v>0</v>
      </c>
      <c r="G66" s="3" t="s">
        <v>1</v>
      </c>
      <c r="H66" s="68"/>
      <c r="I66" s="69"/>
      <c r="J66" s="69"/>
      <c r="K66" s="70"/>
    </row>
    <row r="67" spans="2:13" ht="15.95" hidden="1" customHeight="1" x14ac:dyDescent="0.25">
      <c r="B67" s="108" t="s">
        <v>2</v>
      </c>
      <c r="C67" s="109"/>
      <c r="D67" s="109"/>
      <c r="E67" s="110"/>
      <c r="F67" s="4">
        <f>AVERAGE(M68:M79)</f>
        <v>0</v>
      </c>
      <c r="G67" s="7">
        <f>M80</f>
        <v>0</v>
      </c>
      <c r="H67" s="111"/>
      <c r="I67" s="112"/>
      <c r="J67" s="112"/>
      <c r="K67" s="113"/>
    </row>
    <row r="68" spans="2:13" ht="15.95" hidden="1" customHeight="1" x14ac:dyDescent="0.25">
      <c r="B68" s="37"/>
      <c r="C68" s="37"/>
      <c r="D68" s="37"/>
      <c r="E68" s="37"/>
      <c r="F68" s="37"/>
      <c r="G68" s="5"/>
      <c r="H68" s="41"/>
      <c r="I68" s="42"/>
      <c r="J68" s="42"/>
      <c r="K68" s="43"/>
      <c r="M68" s="32">
        <f t="shared" ref="M68" si="14">AVERAGE(IF(G68&gt;="SIM","100%","0%"))</f>
        <v>0</v>
      </c>
    </row>
    <row r="69" spans="2:13" ht="15.95" hidden="1" customHeight="1" x14ac:dyDescent="0.25">
      <c r="B69" s="37"/>
      <c r="C69" s="37"/>
      <c r="D69" s="37"/>
      <c r="E69" s="37"/>
      <c r="F69" s="37"/>
      <c r="G69" s="5"/>
      <c r="H69" s="41"/>
      <c r="I69" s="42"/>
      <c r="J69" s="42"/>
      <c r="K69" s="43"/>
      <c r="L69" s="2" t="str">
        <f>IF(G69&gt;="SIM","100%","0%")</f>
        <v>0%</v>
      </c>
      <c r="M69" s="32">
        <f t="shared" ref="M69" si="15">AVERAGE(IF(G69&gt;="SIM","100%","0%"))</f>
        <v>0</v>
      </c>
    </row>
    <row r="70" spans="2:13" ht="15.95" hidden="1" customHeight="1" x14ac:dyDescent="0.25">
      <c r="B70" s="38"/>
      <c r="C70" s="39"/>
      <c r="D70" s="39"/>
      <c r="E70" s="39"/>
      <c r="F70" s="40"/>
      <c r="G70" s="5"/>
      <c r="H70" s="41"/>
      <c r="I70" s="42"/>
      <c r="J70" s="42"/>
      <c r="K70" s="43"/>
      <c r="L70" s="2" t="str">
        <f>IF(G70&gt;="SIM","100%","0%")</f>
        <v>0%</v>
      </c>
      <c r="M70" s="32">
        <f t="shared" ref="M70" si="16">AVERAGE(IF(G70&gt;="SIM","100%","0%"))</f>
        <v>0</v>
      </c>
    </row>
    <row r="71" spans="2:13" ht="15.95" hidden="1" customHeight="1" x14ac:dyDescent="0.25">
      <c r="B71" s="38"/>
      <c r="C71" s="39"/>
      <c r="D71" s="39"/>
      <c r="E71" s="39"/>
      <c r="F71" s="40"/>
      <c r="G71" s="5"/>
      <c r="H71" s="41"/>
      <c r="I71" s="42"/>
      <c r="J71" s="42"/>
      <c r="K71" s="43"/>
      <c r="L71" s="2" t="str">
        <f>IF(G71&gt;="SIM","100%","0%")</f>
        <v>0%</v>
      </c>
      <c r="M71" s="32">
        <f t="shared" ref="M71:M78" si="17">AVERAGE(IF(G71&gt;="SIM","100%","0%"))</f>
        <v>0</v>
      </c>
    </row>
    <row r="72" spans="2:13" ht="15.95" hidden="1" customHeight="1" x14ac:dyDescent="0.25">
      <c r="B72" s="38"/>
      <c r="C72" s="39"/>
      <c r="D72" s="39"/>
      <c r="E72" s="39"/>
      <c r="F72" s="40"/>
      <c r="G72" s="5"/>
      <c r="H72" s="41"/>
      <c r="I72" s="42"/>
      <c r="J72" s="42"/>
      <c r="K72" s="43"/>
      <c r="M72" s="32">
        <f t="shared" si="17"/>
        <v>0</v>
      </c>
    </row>
    <row r="73" spans="2:13" ht="15.95" hidden="1" customHeight="1" x14ac:dyDescent="0.25">
      <c r="B73" s="38"/>
      <c r="C73" s="39"/>
      <c r="D73" s="39"/>
      <c r="E73" s="39"/>
      <c r="F73" s="40"/>
      <c r="G73" s="5"/>
      <c r="H73" s="41"/>
      <c r="I73" s="42"/>
      <c r="J73" s="42"/>
      <c r="K73" s="43"/>
      <c r="M73" s="32">
        <f t="shared" si="17"/>
        <v>0</v>
      </c>
    </row>
    <row r="74" spans="2:13" ht="15.95" hidden="1" customHeight="1" x14ac:dyDescent="0.25">
      <c r="B74" s="38"/>
      <c r="C74" s="39"/>
      <c r="D74" s="39"/>
      <c r="E74" s="39"/>
      <c r="F74" s="40"/>
      <c r="G74" s="5"/>
      <c r="H74" s="41"/>
      <c r="I74" s="42"/>
      <c r="J74" s="42"/>
      <c r="K74" s="43"/>
      <c r="M74" s="32">
        <f t="shared" si="17"/>
        <v>0</v>
      </c>
    </row>
    <row r="75" spans="2:13" ht="15.95" hidden="1" customHeight="1" x14ac:dyDescent="0.25">
      <c r="B75" s="38"/>
      <c r="C75" s="39"/>
      <c r="D75" s="39"/>
      <c r="E75" s="39"/>
      <c r="F75" s="40"/>
      <c r="G75" s="5"/>
      <c r="H75" s="41"/>
      <c r="I75" s="42"/>
      <c r="J75" s="42"/>
      <c r="K75" s="43"/>
      <c r="M75" s="32">
        <f t="shared" si="17"/>
        <v>0</v>
      </c>
    </row>
    <row r="76" spans="2:13" ht="15.95" hidden="1" customHeight="1" x14ac:dyDescent="0.25">
      <c r="B76" s="38"/>
      <c r="C76" s="39"/>
      <c r="D76" s="39"/>
      <c r="E76" s="39"/>
      <c r="F76" s="40"/>
      <c r="G76" s="5"/>
      <c r="H76" s="41"/>
      <c r="I76" s="42"/>
      <c r="J76" s="42"/>
      <c r="K76" s="43"/>
      <c r="M76" s="32">
        <f t="shared" si="17"/>
        <v>0</v>
      </c>
    </row>
    <row r="77" spans="2:13" ht="24.75" hidden="1" customHeight="1" x14ac:dyDescent="0.25">
      <c r="B77" s="44"/>
      <c r="C77" s="45"/>
      <c r="D77" s="45"/>
      <c r="E77" s="45"/>
      <c r="F77" s="46"/>
      <c r="G77" s="5"/>
      <c r="H77" s="41"/>
      <c r="I77" s="42"/>
      <c r="J77" s="42"/>
      <c r="K77" s="43"/>
      <c r="M77" s="32">
        <f t="shared" si="17"/>
        <v>0</v>
      </c>
    </row>
    <row r="78" spans="2:13" ht="15.95" hidden="1" customHeight="1" x14ac:dyDescent="0.25">
      <c r="B78" s="38"/>
      <c r="C78" s="39"/>
      <c r="D78" s="39"/>
      <c r="E78" s="39"/>
      <c r="F78" s="40"/>
      <c r="G78" s="5"/>
      <c r="H78" s="41"/>
      <c r="I78" s="42"/>
      <c r="J78" s="42"/>
      <c r="K78" s="43"/>
      <c r="M78" s="32">
        <f t="shared" si="17"/>
        <v>0</v>
      </c>
    </row>
    <row r="79" spans="2:13" ht="12.75" hidden="1" customHeight="1" x14ac:dyDescent="0.25">
      <c r="B79" s="38"/>
      <c r="C79" s="39"/>
      <c r="D79" s="39"/>
      <c r="E79" s="39"/>
      <c r="F79" s="40"/>
      <c r="G79" s="5"/>
      <c r="H79" s="41"/>
      <c r="I79" s="42"/>
      <c r="J79" s="42"/>
      <c r="K79" s="43"/>
      <c r="L79" s="2" t="str">
        <f>IF(G79&gt;="SIM","100%","0%")</f>
        <v>0%</v>
      </c>
      <c r="M79" s="32">
        <f t="shared" ref="M79" si="18">AVERAGE(IF(G79&gt;="SIM","100%","0%"))</f>
        <v>0</v>
      </c>
    </row>
    <row r="80" spans="2:13" ht="15.75" hidden="1" customHeight="1" x14ac:dyDescent="0.25">
      <c r="B80" s="47" t="s">
        <v>6</v>
      </c>
      <c r="C80" s="48"/>
      <c r="D80" s="48"/>
      <c r="E80" s="49"/>
      <c r="F80" s="50" t="s">
        <v>10</v>
      </c>
      <c r="G80" s="51"/>
      <c r="H80" s="52"/>
      <c r="I80" s="53"/>
      <c r="J80" s="53"/>
      <c r="K80" s="54"/>
      <c r="M80" s="32">
        <f>AVERAGE(IF(F80&gt;="NÃO CONFORME","0%","100%"))</f>
        <v>0</v>
      </c>
    </row>
    <row r="81" spans="2:13" ht="40.5" customHeight="1" x14ac:dyDescent="0.25">
      <c r="B81" s="37" t="s">
        <v>5</v>
      </c>
      <c r="C81" s="106"/>
      <c r="D81" s="106"/>
      <c r="E81" s="106"/>
      <c r="F81" s="106"/>
      <c r="G81" s="106"/>
      <c r="H81" s="106"/>
      <c r="I81" s="106"/>
      <c r="J81" s="106"/>
      <c r="K81" s="106"/>
    </row>
    <row r="82" spans="2:13" ht="14.1" customHeight="1" x14ac:dyDescent="0.25">
      <c r="B82" s="106" t="s">
        <v>12</v>
      </c>
      <c r="C82" s="106"/>
      <c r="D82" s="106"/>
      <c r="E82" s="106"/>
      <c r="F82" s="106"/>
      <c r="G82" s="106"/>
      <c r="H82" s="106"/>
      <c r="I82" s="106"/>
      <c r="J82" s="106"/>
      <c r="K82" s="106"/>
    </row>
    <row r="83" spans="2:13" ht="14.1" customHeight="1" x14ac:dyDescent="0.25">
      <c r="B83" s="106" t="s">
        <v>3</v>
      </c>
      <c r="C83" s="106"/>
      <c r="D83" s="106"/>
      <c r="E83" s="106"/>
      <c r="F83" s="106"/>
      <c r="G83" s="106"/>
      <c r="H83" s="106"/>
      <c r="I83" s="106"/>
      <c r="J83" s="106"/>
      <c r="K83" s="106"/>
    </row>
    <row r="84" spans="2:13" ht="14.1" customHeight="1" thickBot="1" x14ac:dyDescent="0.3">
      <c r="B84" s="107" t="s">
        <v>4</v>
      </c>
      <c r="C84" s="107"/>
      <c r="D84" s="107"/>
      <c r="E84" s="107"/>
      <c r="F84" s="107"/>
      <c r="G84" s="107"/>
      <c r="H84" s="107"/>
      <c r="I84" s="107"/>
      <c r="J84" s="107"/>
      <c r="K84" s="107"/>
    </row>
    <row r="85" spans="2:13" ht="15.75" customHeight="1" thickBot="1" x14ac:dyDescent="0.3">
      <c r="B85" s="125" t="s">
        <v>27</v>
      </c>
      <c r="C85" s="125"/>
      <c r="D85" s="125"/>
      <c r="E85" s="125"/>
      <c r="F85" s="117" t="s">
        <v>28</v>
      </c>
      <c r="G85" s="118"/>
      <c r="H85" s="119"/>
      <c r="I85" s="117" t="s">
        <v>29</v>
      </c>
      <c r="J85" s="118"/>
      <c r="K85" s="119"/>
    </row>
    <row r="86" spans="2:13" ht="15.75" customHeight="1" thickBot="1" x14ac:dyDescent="0.3">
      <c r="B86" s="126" t="s">
        <v>46</v>
      </c>
      <c r="C86" s="126"/>
      <c r="D86" s="126"/>
      <c r="E86" s="126"/>
      <c r="F86" s="127" t="s">
        <v>47</v>
      </c>
      <c r="G86" s="128"/>
      <c r="H86" s="129"/>
      <c r="I86" s="130" t="s">
        <v>30</v>
      </c>
      <c r="J86" s="131"/>
      <c r="K86" s="132"/>
    </row>
    <row r="89" spans="2:13" s="2" customFormat="1" ht="12.75" customHeight="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M89" s="32"/>
    </row>
    <row r="90" spans="2:13" s="2" customFormat="1" ht="12.75" customHeight="1" x14ac:dyDescent="0.25"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M90" s="32"/>
    </row>
    <row r="91" spans="2:13" s="2" customFormat="1" x14ac:dyDescent="0.25"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M91" s="32"/>
    </row>
    <row r="92" spans="2:13" s="2" customFormat="1" x14ac:dyDescent="0.25"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M92" s="32"/>
    </row>
    <row r="93" spans="2:13" s="2" customFormat="1" x14ac:dyDescent="0.25"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M93" s="32"/>
    </row>
    <row r="94" spans="2:13" s="2" customFormat="1" x14ac:dyDescent="0.25"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M94" s="32"/>
    </row>
    <row r="95" spans="2:13" s="2" customFormat="1" x14ac:dyDescent="0.25"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M95" s="32"/>
    </row>
    <row r="96" spans="2:13" s="2" customFormat="1" x14ac:dyDescent="0.25"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M96" s="32"/>
    </row>
    <row r="97" spans="2:13" s="2" customFormat="1" x14ac:dyDescent="0.25"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M97" s="32"/>
    </row>
    <row r="98" spans="2:13" s="2" customFormat="1" x14ac:dyDescent="0.25"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M98" s="32"/>
    </row>
    <row r="99" spans="2:13" s="2" customFormat="1" x14ac:dyDescent="0.25"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M99" s="32"/>
    </row>
    <row r="100" spans="2:13" s="2" customFormat="1" x14ac:dyDescent="0.25"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M100" s="32"/>
    </row>
    <row r="101" spans="2:13" s="2" customFormat="1" x14ac:dyDescent="0.25"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M101" s="32"/>
    </row>
    <row r="102" spans="2:13" s="2" customFormat="1" x14ac:dyDescent="0.25"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M102" s="32"/>
    </row>
    <row r="103" spans="2:13" s="2" customFormat="1" x14ac:dyDescent="0.25"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M103" s="32"/>
    </row>
    <row r="104" spans="2:13" s="2" customFormat="1" x14ac:dyDescent="0.25"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M104" s="32"/>
    </row>
    <row r="105" spans="2:13" s="2" customFormat="1" x14ac:dyDescent="0.25"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M105" s="32"/>
    </row>
    <row r="106" spans="2:13" s="2" customFormat="1" x14ac:dyDescent="0.25"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M106" s="32"/>
    </row>
    <row r="107" spans="2:13" s="2" customFormat="1" x14ac:dyDescent="0.25"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M107" s="32"/>
    </row>
    <row r="108" spans="2:13" s="2" customFormat="1" x14ac:dyDescent="0.25"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M108" s="32"/>
    </row>
    <row r="109" spans="2:13" s="2" customFormat="1" x14ac:dyDescent="0.25"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M109" s="32"/>
    </row>
    <row r="110" spans="2:13" s="2" customFormat="1" x14ac:dyDescent="0.25"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M110" s="32"/>
    </row>
    <row r="111" spans="2:13" s="2" customFormat="1" x14ac:dyDescent="0.25"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M111" s="32"/>
    </row>
    <row r="112" spans="2:13" s="2" customFormat="1" x14ac:dyDescent="0.25"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M112" s="32"/>
    </row>
    <row r="113" spans="2:13" s="2" customFormat="1" x14ac:dyDescent="0.25"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M113" s="32"/>
    </row>
    <row r="114" spans="2:13" s="2" customFormat="1" x14ac:dyDescent="0.25"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M114" s="32"/>
    </row>
    <row r="115" spans="2:13" s="2" customFormat="1" x14ac:dyDescent="0.25"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M115" s="32"/>
    </row>
    <row r="116" spans="2:13" s="2" customFormat="1" x14ac:dyDescent="0.25"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M116" s="32"/>
    </row>
    <row r="117" spans="2:13" s="2" customFormat="1" x14ac:dyDescent="0.25"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M117" s="32"/>
    </row>
    <row r="118" spans="2:13" s="2" customFormat="1" x14ac:dyDescent="0.25"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M118" s="32"/>
    </row>
    <row r="119" spans="2:13" s="2" customFormat="1" x14ac:dyDescent="0.25"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M119" s="32"/>
    </row>
    <row r="120" spans="2:13" s="2" customFormat="1" x14ac:dyDescent="0.25"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M120" s="32"/>
    </row>
    <row r="121" spans="2:13" s="2" customFormat="1" x14ac:dyDescent="0.25"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M121" s="32"/>
    </row>
    <row r="122" spans="2:13" s="2" customFormat="1" x14ac:dyDescent="0.25"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M122" s="32"/>
    </row>
    <row r="123" spans="2:13" s="2" customFormat="1" x14ac:dyDescent="0.25"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M123" s="32"/>
    </row>
    <row r="124" spans="2:13" s="2" customFormat="1" x14ac:dyDescent="0.25"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M124" s="32"/>
    </row>
    <row r="125" spans="2:13" s="2" customFormat="1" x14ac:dyDescent="0.25"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M125" s="32"/>
    </row>
    <row r="126" spans="2:13" s="2" customFormat="1" x14ac:dyDescent="0.25"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M126" s="32"/>
    </row>
    <row r="127" spans="2:13" s="2" customFormat="1" x14ac:dyDescent="0.25"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M127" s="32"/>
    </row>
    <row r="128" spans="2:13" s="2" customFormat="1" x14ac:dyDescent="0.25"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M128" s="32"/>
    </row>
    <row r="129" spans="2:13" s="2" customFormat="1" x14ac:dyDescent="0.25"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M129" s="32"/>
    </row>
    <row r="130" spans="2:13" s="2" customFormat="1" x14ac:dyDescent="0.25"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M130" s="32"/>
    </row>
    <row r="131" spans="2:13" s="2" customFormat="1" x14ac:dyDescent="0.25"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M131" s="32"/>
    </row>
    <row r="132" spans="2:13" s="2" customFormat="1" x14ac:dyDescent="0.25"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M132" s="32"/>
    </row>
    <row r="133" spans="2:13" s="2" customFormat="1" x14ac:dyDescent="0.25"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M133" s="32"/>
    </row>
    <row r="134" spans="2:13" s="2" customFormat="1" x14ac:dyDescent="0.25"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M134" s="32"/>
    </row>
    <row r="135" spans="2:13" s="2" customFormat="1" x14ac:dyDescent="0.25"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M135" s="32"/>
    </row>
    <row r="136" spans="2:13" s="2" customFormat="1" x14ac:dyDescent="0.25"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M136" s="32"/>
    </row>
    <row r="137" spans="2:13" s="2" customFormat="1" x14ac:dyDescent="0.25"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M137" s="32"/>
    </row>
    <row r="138" spans="2:13" s="2" customFormat="1" x14ac:dyDescent="0.25"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M138" s="32"/>
    </row>
    <row r="139" spans="2:13" s="2" customFormat="1" x14ac:dyDescent="0.25"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M139" s="32"/>
    </row>
    <row r="140" spans="2:13" s="2" customFormat="1" x14ac:dyDescent="0.25"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M140" s="32"/>
    </row>
    <row r="141" spans="2:13" s="2" customFormat="1" x14ac:dyDescent="0.25"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M141" s="32"/>
    </row>
    <row r="142" spans="2:13" s="2" customFormat="1" x14ac:dyDescent="0.25"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M142" s="32"/>
    </row>
    <row r="143" spans="2:13" s="2" customFormat="1" x14ac:dyDescent="0.25"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M143" s="32"/>
    </row>
    <row r="144" spans="2:13" s="2" customFormat="1" x14ac:dyDescent="0.25"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M144" s="32"/>
    </row>
    <row r="145" spans="2:13" s="2" customFormat="1" x14ac:dyDescent="0.25"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M145" s="32"/>
    </row>
    <row r="146" spans="2:13" s="2" customFormat="1" x14ac:dyDescent="0.25"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M146" s="32"/>
    </row>
    <row r="147" spans="2:13" s="2" customFormat="1" x14ac:dyDescent="0.25"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M147" s="32"/>
    </row>
  </sheetData>
  <mergeCells count="170">
    <mergeCell ref="B85:E85"/>
    <mergeCell ref="I85:K85"/>
    <mergeCell ref="F85:H85"/>
    <mergeCell ref="B86:E86"/>
    <mergeCell ref="F86:H86"/>
    <mergeCell ref="I86:K86"/>
    <mergeCell ref="B79:F79"/>
    <mergeCell ref="H79:K79"/>
    <mergeCell ref="B80:E80"/>
    <mergeCell ref="F80:G80"/>
    <mergeCell ref="H80:K80"/>
    <mergeCell ref="B67:E67"/>
    <mergeCell ref="H67:K67"/>
    <mergeCell ref="H68:K68"/>
    <mergeCell ref="B22:F22"/>
    <mergeCell ref="B23:F23"/>
    <mergeCell ref="H65:K65"/>
    <mergeCell ref="B66:F66"/>
    <mergeCell ref="H66:K66"/>
    <mergeCell ref="H55:K55"/>
    <mergeCell ref="H53:K53"/>
    <mergeCell ref="H57:K57"/>
    <mergeCell ref="B53:F53"/>
    <mergeCell ref="B54:F54"/>
    <mergeCell ref="B55:F55"/>
    <mergeCell ref="B56:F56"/>
    <mergeCell ref="B32:F32"/>
    <mergeCell ref="B33:F33"/>
    <mergeCell ref="B27:F27"/>
    <mergeCell ref="B28:F28"/>
    <mergeCell ref="B57:F57"/>
    <mergeCell ref="B58:F58"/>
    <mergeCell ref="B59:F59"/>
    <mergeCell ref="B60:F60"/>
    <mergeCell ref="B61:F61"/>
    <mergeCell ref="H48:K48"/>
    <mergeCell ref="B49:E49"/>
    <mergeCell ref="H49:K49"/>
    <mergeCell ref="H50:K50"/>
    <mergeCell ref="B50:F50"/>
    <mergeCell ref="B65:E65"/>
    <mergeCell ref="F65:G65"/>
    <mergeCell ref="B2:B4"/>
    <mergeCell ref="C4:E4"/>
    <mergeCell ref="G4:H4"/>
    <mergeCell ref="K2:K4"/>
    <mergeCell ref="B62:F62"/>
    <mergeCell ref="B39:F39"/>
    <mergeCell ref="H39:K39"/>
    <mergeCell ref="B36:E36"/>
    <mergeCell ref="B17:F17"/>
    <mergeCell ref="B40:F40"/>
    <mergeCell ref="B41:F41"/>
    <mergeCell ref="B35:F35"/>
    <mergeCell ref="H35:K35"/>
    <mergeCell ref="B34:E34"/>
    <mergeCell ref="F34:G34"/>
    <mergeCell ref="H34:K34"/>
    <mergeCell ref="H37:K37"/>
    <mergeCell ref="B90:K147"/>
    <mergeCell ref="B7:E7"/>
    <mergeCell ref="C12:D12"/>
    <mergeCell ref="C9:E9"/>
    <mergeCell ref="B81:K81"/>
    <mergeCell ref="B82:K82"/>
    <mergeCell ref="B83:K83"/>
    <mergeCell ref="B84:K84"/>
    <mergeCell ref="H42:K42"/>
    <mergeCell ref="H40:K40"/>
    <mergeCell ref="B38:F38"/>
    <mergeCell ref="H38:K38"/>
    <mergeCell ref="B51:F51"/>
    <mergeCell ref="H51:K51"/>
    <mergeCell ref="B52:F52"/>
    <mergeCell ref="H52:K52"/>
    <mergeCell ref="B48:F48"/>
    <mergeCell ref="H33:K33"/>
    <mergeCell ref="B30:F30"/>
    <mergeCell ref="H30:K30"/>
    <mergeCell ref="B31:E31"/>
    <mergeCell ref="H31:K31"/>
    <mergeCell ref="H32:K32"/>
    <mergeCell ref="H36:K36"/>
    <mergeCell ref="B37:F37"/>
    <mergeCell ref="H27:K27"/>
    <mergeCell ref="H28:K28"/>
    <mergeCell ref="B21:E21"/>
    <mergeCell ref="H21:K21"/>
    <mergeCell ref="B24:E24"/>
    <mergeCell ref="F24:G24"/>
    <mergeCell ref="H24:K24"/>
    <mergeCell ref="B29:E29"/>
    <mergeCell ref="F29:G29"/>
    <mergeCell ref="H29:K29"/>
    <mergeCell ref="B6:K6"/>
    <mergeCell ref="G7:K7"/>
    <mergeCell ref="G9:H9"/>
    <mergeCell ref="C8:D8"/>
    <mergeCell ref="D2:E2"/>
    <mergeCell ref="F2:J3"/>
    <mergeCell ref="D3:E3"/>
    <mergeCell ref="E12:F12"/>
    <mergeCell ref="G12:H12"/>
    <mergeCell ref="B14:F14"/>
    <mergeCell ref="H14:K14"/>
    <mergeCell ref="H15:K15"/>
    <mergeCell ref="G10:H10"/>
    <mergeCell ref="G11:H11"/>
    <mergeCell ref="C10:E10"/>
    <mergeCell ref="C11:E11"/>
    <mergeCell ref="B42:F42"/>
    <mergeCell ref="B43:F43"/>
    <mergeCell ref="B16:F16"/>
    <mergeCell ref="H16:K16"/>
    <mergeCell ref="B18:F18"/>
    <mergeCell ref="H18:K18"/>
    <mergeCell ref="B19:E19"/>
    <mergeCell ref="F19:G19"/>
    <mergeCell ref="H19:K19"/>
    <mergeCell ref="B20:F20"/>
    <mergeCell ref="H20:K20"/>
    <mergeCell ref="B25:F25"/>
    <mergeCell ref="H25:K25"/>
    <mergeCell ref="B26:E26"/>
    <mergeCell ref="H26:K26"/>
    <mergeCell ref="H22:K22"/>
    <mergeCell ref="H23:K23"/>
    <mergeCell ref="B44:F44"/>
    <mergeCell ref="B45:F45"/>
    <mergeCell ref="H41:K41"/>
    <mergeCell ref="H44:K44"/>
    <mergeCell ref="H45:K45"/>
    <mergeCell ref="B47:E47"/>
    <mergeCell ref="F47:G47"/>
    <mergeCell ref="H47:K47"/>
    <mergeCell ref="B46:F46"/>
    <mergeCell ref="H46:K46"/>
    <mergeCell ref="H43:K43"/>
    <mergeCell ref="B63:F63"/>
    <mergeCell ref="B64:F64"/>
    <mergeCell ref="H54:K54"/>
    <mergeCell ref="H56:K56"/>
    <mergeCell ref="H58:K58"/>
    <mergeCell ref="H59:K59"/>
    <mergeCell ref="H60:K60"/>
    <mergeCell ref="H61:K61"/>
    <mergeCell ref="H62:K62"/>
    <mergeCell ref="H63:K63"/>
    <mergeCell ref="H64:K64"/>
    <mergeCell ref="B68:F68"/>
    <mergeCell ref="B71:F71"/>
    <mergeCell ref="B72:F72"/>
    <mergeCell ref="B73:F73"/>
    <mergeCell ref="B74:F74"/>
    <mergeCell ref="B75:F75"/>
    <mergeCell ref="B76:F76"/>
    <mergeCell ref="B78:F78"/>
    <mergeCell ref="H72:K72"/>
    <mergeCell ref="H73:K73"/>
    <mergeCell ref="H74:K74"/>
    <mergeCell ref="H75:K75"/>
    <mergeCell ref="H76:K76"/>
    <mergeCell ref="H78:K78"/>
    <mergeCell ref="B77:F77"/>
    <mergeCell ref="H77:K77"/>
    <mergeCell ref="H71:K71"/>
    <mergeCell ref="B69:F69"/>
    <mergeCell ref="H69:K69"/>
    <mergeCell ref="B70:F70"/>
    <mergeCell ref="H70:K70"/>
  </mergeCells>
  <conditionalFormatting sqref="E8">
    <cfRule type="containsText" dxfId="36" priority="60" operator="containsText" text="EM ATRASO">
      <formula>NOT(ISERROR(SEARCH("EM ATRASO",E8)))</formula>
    </cfRule>
    <cfRule type="containsText" dxfId="35" priority="61" operator="containsText" text="URGENTE">
      <formula>NOT(ISERROR(SEARCH("URGENTE",E8)))</formula>
    </cfRule>
    <cfRule type="containsText" dxfId="34" priority="62" operator="containsText" text="PRIORIDADE">
      <formula>NOT(ISERROR(SEARCH("PRIORIDADE",E8)))</formula>
    </cfRule>
    <cfRule type="containsText" dxfId="33" priority="63" operator="containsText" text="IMPORTANTE">
      <formula>NOT(ISERROR(SEARCH("IMPORTANTE",E8)))</formula>
    </cfRule>
    <cfRule type="containsText" dxfId="32" priority="64" operator="containsText" text="EM DIA">
      <formula>NOT(ISERROR(SEARCH("EM DIA",E8)))</formula>
    </cfRule>
  </conditionalFormatting>
  <conditionalFormatting sqref="F7">
    <cfRule type="cellIs" dxfId="31" priority="157" stopIfTrue="1" operator="between">
      <formula>0%</formula>
      <formula>39.99%</formula>
    </cfRule>
    <cfRule type="cellIs" dxfId="30" priority="156" stopIfTrue="1" operator="between">
      <formula>33.3%</formula>
      <formula>95%</formula>
    </cfRule>
    <cfRule type="cellIs" dxfId="29" priority="155" stopIfTrue="1" operator="between">
      <formula>95.1%</formula>
      <formula>100%</formula>
    </cfRule>
  </conditionalFormatting>
  <conditionalFormatting sqref="F8:F11">
    <cfRule type="iconSet" priority="5">
      <iconSet iconSet="3Symbols">
        <cfvo type="percent" val="0"/>
        <cfvo type="num" val="7"/>
        <cfvo type="num" val="30" gte="0"/>
      </iconSet>
    </cfRule>
  </conditionalFormatting>
  <conditionalFormatting sqref="F19:G19">
    <cfRule type="containsText" dxfId="28" priority="77" stopIfTrue="1" operator="containsText" text="CONFORME">
      <formula>NOT(ISERROR(SEARCH("CONFORME",F19)))</formula>
    </cfRule>
    <cfRule type="containsText" dxfId="27" priority="76" stopIfTrue="1" operator="containsText" text="NÃO CONFORME">
      <formula>NOT(ISERROR(SEARCH("NÃO CONFORME",F19)))</formula>
    </cfRule>
  </conditionalFormatting>
  <conditionalFormatting sqref="F24:G24">
    <cfRule type="containsText" dxfId="26" priority="119" stopIfTrue="1" operator="containsText" text="NÃO CONFORME">
      <formula>NOT(ISERROR(SEARCH("NÃO CONFORME",F24)))</formula>
    </cfRule>
    <cfRule type="containsText" dxfId="25" priority="120" stopIfTrue="1" operator="containsText" text="CONFORME">
      <formula>NOT(ISERROR(SEARCH("CONFORME",F24)))</formula>
    </cfRule>
  </conditionalFormatting>
  <conditionalFormatting sqref="F29:G29">
    <cfRule type="containsText" dxfId="24" priority="107" stopIfTrue="1" operator="containsText" text="NÃO CONFORME">
      <formula>NOT(ISERROR(SEARCH("NÃO CONFORME",F29)))</formula>
    </cfRule>
    <cfRule type="containsText" dxfId="23" priority="108" stopIfTrue="1" operator="containsText" text="CONFORME">
      <formula>NOT(ISERROR(SEARCH("CONFORME",F29)))</formula>
    </cfRule>
  </conditionalFormatting>
  <conditionalFormatting sqref="F34:G34 F65:G65 F80:G80">
    <cfRule type="containsText" dxfId="22" priority="97" stopIfTrue="1" operator="containsText" text="NÃO CONFORME">
      <formula>NOT(ISERROR(SEARCH("NÃO CONFORME",F34)))</formula>
    </cfRule>
    <cfRule type="containsText" dxfId="21" priority="98" stopIfTrue="1" operator="containsText" text="CONFORME">
      <formula>NOT(ISERROR(SEARCH("CONFORME",F34)))</formula>
    </cfRule>
  </conditionalFormatting>
  <conditionalFormatting sqref="F47:G47">
    <cfRule type="containsText" dxfId="20" priority="3" stopIfTrue="1" operator="containsText" text="NÃO CONFORME">
      <formula>NOT(ISERROR(SEARCH("NÃO CONFORME",F47)))</formula>
    </cfRule>
    <cfRule type="containsText" dxfId="19" priority="4" stopIfTrue="1" operator="containsText" text="CONFORME">
      <formula>NOT(ISERROR(SEARCH("CONFORME",F47)))</formula>
    </cfRule>
  </conditionalFormatting>
  <conditionalFormatting sqref="G22:G23">
    <cfRule type="beginsWith" dxfId="18" priority="133" stopIfTrue="1" operator="beginsWith" text="NÃO">
      <formula>LEFT(G22,LEN("NÃO"))="NÃO"</formula>
    </cfRule>
    <cfRule type="beginsWith" dxfId="17" priority="134" stopIfTrue="1" operator="beginsWith" text="SIM">
      <formula>LEFT(G22,LEN("SIM"))="SIM"</formula>
    </cfRule>
  </conditionalFormatting>
  <conditionalFormatting sqref="G27:G28">
    <cfRule type="beginsWith" dxfId="16" priority="141" stopIfTrue="1" operator="beginsWith" text="NÃO">
      <formula>LEFT(G27,LEN("NÃO"))="NÃO"</formula>
    </cfRule>
    <cfRule type="beginsWith" dxfId="15" priority="142" stopIfTrue="1" operator="beginsWith" text="SIM">
      <formula>LEFT(G27,LEN("SIM"))="SIM"</formula>
    </cfRule>
  </conditionalFormatting>
  <conditionalFormatting sqref="G32:G33">
    <cfRule type="beginsWith" dxfId="14" priority="145" stopIfTrue="1" operator="beginsWith" text="NÃO">
      <formula>LEFT(G32,LEN("NÃO"))="NÃO"</formula>
    </cfRule>
    <cfRule type="beginsWith" dxfId="13" priority="146" stopIfTrue="1" operator="beginsWith" text="SIM">
      <formula>LEFT(G32,LEN("SIM"))="SIM"</formula>
    </cfRule>
  </conditionalFormatting>
  <conditionalFormatting sqref="G37:G46">
    <cfRule type="beginsWith" dxfId="12" priority="50" stopIfTrue="1" operator="beginsWith" text="NÃO">
      <formula>LEFT(G37,LEN("NÃO"))="NÃO"</formula>
    </cfRule>
    <cfRule type="beginsWith" dxfId="11" priority="51" stopIfTrue="1" operator="beginsWith" text="SIM">
      <formula>LEFT(G37,LEN("SIM"))="SIM"</formula>
    </cfRule>
  </conditionalFormatting>
  <conditionalFormatting sqref="G50:G64">
    <cfRule type="beginsWith" dxfId="10" priority="34" stopIfTrue="1" operator="beginsWith" text="NÃO">
      <formula>LEFT(G50,LEN("NÃO"))="NÃO"</formula>
    </cfRule>
    <cfRule type="beginsWith" dxfId="9" priority="35" stopIfTrue="1" operator="beginsWith" text="SIM">
      <formula>LEFT(G50,LEN("SIM"))="SIM"</formula>
    </cfRule>
  </conditionalFormatting>
  <conditionalFormatting sqref="G68:G79">
    <cfRule type="beginsWith" dxfId="8" priority="14" stopIfTrue="1" operator="beginsWith" text="NÃO">
      <formula>LEFT(G68,LEN("NÃO"))="NÃO"</formula>
    </cfRule>
    <cfRule type="beginsWith" dxfId="7" priority="15" stopIfTrue="1" operator="beginsWith" text="SIM">
      <formula>LEFT(G68,LEN("SIM"))="SIM"</formula>
    </cfRule>
  </conditionalFormatting>
  <conditionalFormatting sqref="G16:H18">
    <cfRule type="beginsWith" dxfId="6" priority="69" stopIfTrue="1" operator="beginsWith" text="SIM">
      <formula>LEFT(G16,LEN("SIM"))="SIM"</formula>
    </cfRule>
    <cfRule type="beginsWith" dxfId="5" priority="68" stopIfTrue="1" operator="beginsWith" text="NÃO">
      <formula>LEFT(G16,LEN("NÃO"))="NÃO"</formula>
    </cfRule>
  </conditionalFormatting>
  <conditionalFormatting sqref="J9:J11 I9:I12">
    <cfRule type="cellIs" dxfId="4" priority="2" operator="equal">
      <formula>1</formula>
    </cfRule>
    <cfRule type="cellIs" dxfId="3" priority="1" operator="equal">
      <formula>0</formula>
    </cfRule>
  </conditionalFormatting>
  <conditionalFormatting sqref="K12">
    <cfRule type="cellIs" dxfId="2" priority="88" operator="between">
      <formula>0.75</formula>
      <formula>1</formula>
    </cfRule>
    <cfRule type="cellIs" dxfId="1" priority="89" operator="between">
      <formula>0.51</formula>
      <formula>0.75</formula>
    </cfRule>
    <cfRule type="cellIs" dxfId="0" priority="90" operator="between">
      <formula>0</formula>
      <formula>0.5</formula>
    </cfRule>
  </conditionalFormatting>
  <dataValidations count="2">
    <dataValidation type="list" allowBlank="1" showInputMessage="1" showErrorMessage="1" sqref="F19:G19 F24:G24 F29:G29 F34:G34 F47:G47 F65:G65 F80:G80">
      <formula1>$M$11:$M$12</formula1>
    </dataValidation>
    <dataValidation type="list" allowBlank="1" showInputMessage="1" showErrorMessage="1" sqref="G16:G18 G22:G23 G27:G28 G32:G33 G50:G64 G37:G46 G68:G79">
      <formula1>$M$9:$M$10</formula1>
    </dataValidation>
  </dataValidations>
  <hyperlinks>
    <hyperlink ref="F7" r:id="rId1" display="20160428_SEMED_Sub Adm Fin_ Contratos &amp; Licitações.xlsx"/>
  </hyperlinks>
  <pageMargins left="0.511811024" right="0.511811024" top="0.78740157499999996" bottom="0.78740157499999996" header="0.31496062000000002" footer="0.31496062000000002"/>
  <pageSetup paperSize="9" scale="74" orientation="portrait" r:id="rId2"/>
  <ignoredErrors>
    <ignoredError sqref="M23" formula="1"/>
    <ignoredError sqref="F7" unlocked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Recálculo Guia Dpt. Fiscal</vt:lpstr>
      <vt:lpstr>'Recálculo Guia Dpt. Fiscal'!Area_de_impressao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Atos Nick</dc:creator>
  <cp:lastModifiedBy>Exatas</cp:lastModifiedBy>
  <cp:lastPrinted>2025-03-21T22:55:07Z</cp:lastPrinted>
  <dcterms:created xsi:type="dcterms:W3CDTF">2012-06-29T14:44:54Z</dcterms:created>
  <dcterms:modified xsi:type="dcterms:W3CDTF">2026-07-09T19:42:25Z</dcterms:modified>
</cp:coreProperties>
</file>