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Exatas\Documents\GitHub\automations-exatas\gerador-pop-it\referencias\"/>
    </mc:Choice>
  </mc:AlternateContent>
  <bookViews>
    <workbookView xWindow="8970" yWindow="720" windowWidth="12915" windowHeight="12900"/>
  </bookViews>
  <sheets>
    <sheet name="Recálculo Guia Dpt. Fiscal" sheetId="9" r:id="rId1"/>
    <sheet name="Plan1" sheetId="12" state="hidden" r:id="rId2"/>
    <sheet name="EXEMPLO" sheetId="11" state="hidden" r:id="rId3"/>
  </sheets>
  <definedNames>
    <definedName name="_xlnm.Print_Area" localSheetId="2">EXEMPLO!$A$4:$J$93</definedName>
    <definedName name="_xlnm.Print_Area" localSheetId="0">'Recálculo Guia Dpt. Fiscal'!$A$1:$J$86</definedName>
    <definedName name="Setores_Hospitalares" comment="Insira Um Setor Citado Pre Definido">Plan1!$A$1:$A$57</definedName>
  </definedNames>
  <calcPr calcId="162913"/>
</workbook>
</file>

<file path=xl/calcChain.xml><?xml version="1.0" encoding="utf-8"?>
<calcChain xmlns="http://schemas.openxmlformats.org/spreadsheetml/2006/main">
  <c r="B5" i="9" l="1"/>
  <c r="H65" i="9"/>
  <c r="H64" i="9"/>
  <c r="H63" i="9"/>
  <c r="H62" i="9"/>
  <c r="H61" i="9"/>
  <c r="H60" i="9"/>
  <c r="H59" i="9"/>
  <c r="H58" i="9"/>
  <c r="H57" i="9"/>
  <c r="H56" i="9"/>
  <c r="H55" i="9"/>
  <c r="H54" i="9"/>
  <c r="H53" i="9"/>
  <c r="H52" i="9"/>
  <c r="H51" i="9"/>
  <c r="H50" i="9"/>
  <c r="H49" i="9"/>
  <c r="H48" i="9"/>
  <c r="H47" i="9"/>
  <c r="H46" i="9"/>
  <c r="H45" i="9"/>
  <c r="H44" i="9"/>
  <c r="H43" i="9"/>
  <c r="H42" i="9"/>
  <c r="H41" i="9"/>
  <c r="H40" i="9"/>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alcChain>
</file>

<file path=xl/comments1.xml><?xml version="1.0" encoding="utf-8"?>
<comments xmlns="http://schemas.openxmlformats.org/spreadsheetml/2006/main">
  <authors>
    <author>Atos Nick Souza Batista</author>
    <author>Atos Batista</author>
  </authors>
  <commentList>
    <comment ref="C3" authorId="0" shapeId="0">
      <text>
        <r>
          <rPr>
            <sz val="9"/>
            <color indexed="81"/>
            <rFont val="Segoe UI"/>
            <family val="2"/>
          </rPr>
          <t>Inserir Nome do Departamento, Através de Cadastro em Lista Suspensa</t>
        </r>
      </text>
    </comment>
    <comment ref="E3" authorId="0" shapeId="0">
      <text>
        <r>
          <rPr>
            <sz val="9"/>
            <color indexed="81"/>
            <rFont val="Segoe UI"/>
            <family val="2"/>
          </rPr>
          <t>Repetir Texto Previsto em "Título do Documento", na Instrução de Trabalho, através de Cadastro em Lista Suspensa</t>
        </r>
      </text>
    </comment>
    <comment ref="B5" authorId="0" shapeId="0">
      <text>
        <r>
          <rPr>
            <sz val="9"/>
            <color indexed="81"/>
            <rFont val="Segoe UI"/>
            <family val="2"/>
          </rPr>
          <t>Data do Mapeamento Concluído</t>
        </r>
      </text>
    </comment>
    <comment ref="D5" authorId="0" shapeId="0">
      <text>
        <r>
          <rPr>
            <sz val="9"/>
            <color indexed="81"/>
            <rFont val="Segoe UI"/>
            <family val="2"/>
          </rPr>
          <t>Repetir Texto Previsto em "Objetivo do Documento", na Instrução de Trabalho</t>
        </r>
      </text>
    </comment>
    <comment ref="A8" authorId="1" shapeId="0">
      <text>
        <r>
          <rPr>
            <sz val="9"/>
            <color indexed="81"/>
            <rFont val="Tahoma"/>
            <family val="2"/>
          </rPr>
          <t>Quem Requer?</t>
        </r>
      </text>
    </comment>
    <comment ref="C8" authorId="1" shapeId="0">
      <text>
        <r>
          <rPr>
            <sz val="9"/>
            <color indexed="81"/>
            <rFont val="Tahoma"/>
            <family val="2"/>
          </rPr>
          <t>(O Que Vem De Demanda Principal?)</t>
        </r>
      </text>
    </comment>
    <comment ref="E8" authorId="1" shapeId="0">
      <text>
        <r>
          <rPr>
            <sz val="9"/>
            <color indexed="81"/>
            <rFont val="Tahoma"/>
            <family val="2"/>
          </rPr>
          <t>Para Quem?</t>
        </r>
      </text>
    </comment>
    <comment ref="H8" authorId="1" shapeId="0">
      <text>
        <r>
          <rPr>
            <sz val="9"/>
            <color indexed="81"/>
            <rFont val="Tahoma"/>
            <family val="2"/>
          </rPr>
          <t>O Que Entrega?</t>
        </r>
      </text>
    </comment>
    <comment ref="A10" authorId="0" shapeId="0">
      <text>
        <r>
          <rPr>
            <sz val="9"/>
            <color indexed="81"/>
            <rFont val="Segoe UI"/>
            <family val="2"/>
          </rPr>
          <t>Inserir Nome do Setor Fornecedor, através de Cadastro em Lista Suspensa</t>
        </r>
      </text>
    </comment>
    <comment ref="C10" authorId="0" shapeId="0">
      <text>
        <r>
          <rPr>
            <sz val="9"/>
            <color indexed="81"/>
            <rFont val="Segoe UI"/>
            <family val="2"/>
          </rPr>
          <t>Como Entra o Documento do Fornecedor e Para Qual Finalidade de Transformação</t>
        </r>
      </text>
    </comment>
    <comment ref="E10" authorId="0" shapeId="0">
      <text>
        <r>
          <rPr>
            <sz val="9"/>
            <color indexed="81"/>
            <rFont val="Segoe UI"/>
            <family val="2"/>
          </rPr>
          <t>Inserir Nome do Setor Cliente, através de Cadastro em Lista Suspensa</t>
        </r>
      </text>
    </comment>
    <comment ref="H10" authorId="0" shapeId="0">
      <text>
        <r>
          <rPr>
            <sz val="9"/>
            <color indexed="81"/>
            <rFont val="Segoe UI"/>
            <family val="2"/>
          </rPr>
          <t>O Que Se Entrega de Serviço Concluído Nesta Fase do Processo?</t>
        </r>
      </text>
    </comment>
    <comment ref="A39" authorId="0" shapeId="0">
      <text>
        <r>
          <rPr>
            <sz val="9"/>
            <color indexed="81"/>
            <rFont val="Segoe UI"/>
            <family val="2"/>
          </rPr>
          <t>Repetir as Fases do Processo, Previstas no PROCEDIMENTO, Sendo: "Círculo" Para Início/Fim do Processo e "Quadrado" o Desenvolvimento do Processo</t>
        </r>
      </text>
    </comment>
    <comment ref="B39" authorId="0" shapeId="0">
      <text>
        <r>
          <rPr>
            <sz val="9"/>
            <color indexed="81"/>
            <rFont val="Segoe UI"/>
            <family val="2"/>
          </rPr>
          <t>Inserir Nome do Departamento, Conforme Indicado em PROCEDIMENTO, Através de Cadastro em Lista Suspensa</t>
        </r>
      </text>
    </comment>
    <comment ref="C39" authorId="0" shapeId="0">
      <text>
        <r>
          <rPr>
            <sz val="9"/>
            <color indexed="81"/>
            <rFont val="Segoe UI"/>
            <family val="2"/>
          </rPr>
          <t>Repetir COMO FAZ, Conforme Indicado em PROCEDIMENTO, em Síntese (2 linhas)</t>
        </r>
      </text>
    </comment>
    <comment ref="D39" authorId="0" shapeId="0">
      <text>
        <r>
          <rPr>
            <sz val="9"/>
            <color indexed="81"/>
            <rFont val="Segoe UI"/>
            <family val="2"/>
          </rPr>
          <t>Classificar, Conforme Indicação em Legenda "Risco"</t>
        </r>
      </text>
    </comment>
    <comment ref="E39" authorId="0" shapeId="0">
      <text>
        <r>
          <rPr>
            <sz val="9"/>
            <color indexed="81"/>
            <rFont val="Segoe UI"/>
            <family val="2"/>
          </rPr>
          <t>Indicar, No Mínimo, A Respectiva INSTRUÇÃO DE TRABALHO e PROCEDIMENTOS</t>
        </r>
      </text>
    </comment>
    <comment ref="F39" authorId="0" shapeId="0">
      <text>
        <r>
          <rPr>
            <sz val="9"/>
            <color indexed="81"/>
            <rFont val="Segoe UI"/>
            <family val="2"/>
          </rPr>
          <t>Classificar, Conforme Indicação em Legenda "Probabilidade"</t>
        </r>
      </text>
    </comment>
    <comment ref="G39" authorId="0" shapeId="0">
      <text>
        <r>
          <rPr>
            <sz val="9"/>
            <color indexed="81"/>
            <rFont val="Segoe UI"/>
            <family val="2"/>
          </rPr>
          <t>Classificar, Conforme Indicação em Legenda "Gravidade"</t>
        </r>
      </text>
    </comment>
    <comment ref="I39" authorId="0" shapeId="0">
      <text>
        <r>
          <rPr>
            <sz val="9"/>
            <color indexed="81"/>
            <rFont val="Segoe UI"/>
            <family val="2"/>
          </rPr>
          <t xml:space="preserve">Qual Ação Imediata Para Constatar Garantia de Entrega Nesta Fase do Processo?
</t>
        </r>
      </text>
    </comment>
    <comment ref="J39" authorId="0" shapeId="0">
      <text>
        <r>
          <rPr>
            <sz val="9"/>
            <color indexed="81"/>
            <rFont val="Segoe UI"/>
            <family val="2"/>
          </rPr>
          <t>Indicar Indicadores de Desempenho Operacional Estabelecidos (Ver FORM.QUA.004, para Modelagem de Implantação), Por Exemplo</t>
        </r>
      </text>
    </comment>
  </commentList>
</comments>
</file>

<file path=xl/sharedStrings.xml><?xml version="1.0" encoding="utf-8"?>
<sst xmlns="http://schemas.openxmlformats.org/spreadsheetml/2006/main" count="435" uniqueCount="336">
  <si>
    <t>ETAPAS</t>
  </si>
  <si>
    <t>P</t>
  </si>
  <si>
    <t>G</t>
  </si>
  <si>
    <t>NUNCA</t>
  </si>
  <si>
    <t>Nunca ocorreu</t>
  </si>
  <si>
    <t>REMOTA</t>
  </si>
  <si>
    <t>Remota, dificilmente ocorre</t>
  </si>
  <si>
    <t>INCOMUM</t>
  </si>
  <si>
    <t xml:space="preserve">Incomum, é possível ocorrer </t>
  </si>
  <si>
    <t>OCASIONAL</t>
  </si>
  <si>
    <t>Ocasional, probabilidade de ocorrer ao longo do tempo</t>
  </si>
  <si>
    <t>FREQUENTE</t>
  </si>
  <si>
    <t>Frequente, provavelmente ocorrerá novamente de imediato ou após breve período de tempo</t>
  </si>
  <si>
    <t>PROBABILIDADE</t>
  </si>
  <si>
    <t xml:space="preserve">Sintomas leves, perda de função ou danos mínimos ou moderados, mas com duração rápida, e apenas intervenções mínimas sendo necessárias (ex.: observação extra, investigação, revisão de tratamento leve). </t>
  </si>
  <si>
    <t xml:space="preserve">Paciente sintomático, com necessidade de intervenção (ex.: procedimento terapêutico adicional, tratamento adicional), com aumento do tempo de internação, com dano ou perda de função permanente ou de longo prazo. </t>
  </si>
  <si>
    <t xml:space="preserve">Paciente sintomático, necessidade de intervenção para suporte de vida, ou intervenção clínica/cirúrgica de grande porte, causando diminuição da expectativa de vida, com grande dano ou perda de função permanente ou de longo prazo. </t>
  </si>
  <si>
    <t xml:space="preserve">ÓBITO </t>
  </si>
  <si>
    <t xml:space="preserve">Dentro das possibilidades, em curto prazo o evento causou ou acelerou a morte </t>
  </si>
  <si>
    <t>GRAVIDADE</t>
  </si>
  <si>
    <t xml:space="preserve">DANO LEVE </t>
  </si>
  <si>
    <t>DANO MODERADO</t>
  </si>
  <si>
    <t xml:space="preserve">DANO GRAVE </t>
  </si>
  <si>
    <t>PXG</t>
  </si>
  <si>
    <t>Evento sem dano</t>
  </si>
  <si>
    <t>Dano Leve</t>
  </si>
  <si>
    <t>Dano moderado</t>
  </si>
  <si>
    <t>Dano Grave</t>
  </si>
  <si>
    <t>Óbito</t>
  </si>
  <si>
    <t>Frequente</t>
  </si>
  <si>
    <t>Ocasional</t>
  </si>
  <si>
    <t>Incomum</t>
  </si>
  <si>
    <t>Remoto</t>
  </si>
  <si>
    <t>Nunca</t>
  </si>
  <si>
    <t>RISCO</t>
  </si>
  <si>
    <t>MEDIDAS</t>
  </si>
  <si>
    <t>SEGUIMENTO</t>
  </si>
  <si>
    <t xml:space="preserve">≥ 12
</t>
  </si>
  <si>
    <t xml:space="preserve">5 a 10
</t>
  </si>
  <si>
    <t>1 a 4</t>
  </si>
  <si>
    <t>Tolerável
Criticidade 1 a 4</t>
  </si>
  <si>
    <t>Alarp 5 a 10</t>
  </si>
  <si>
    <t>Inaceitável Criticidade ≥ 12</t>
  </si>
  <si>
    <t xml:space="preserve">FORNECEDORES: </t>
  </si>
  <si>
    <t xml:space="preserve">CLIENTES: </t>
  </si>
  <si>
    <t>INSUMO:</t>
  </si>
  <si>
    <t>SAÍDA</t>
  </si>
  <si>
    <t>CADEIA CLIENTE FORNCEDOR</t>
  </si>
  <si>
    <t>Farmácia</t>
  </si>
  <si>
    <t>Higiene</t>
  </si>
  <si>
    <t>Higienização</t>
  </si>
  <si>
    <t>Laboratório</t>
  </si>
  <si>
    <t>Resultado dos Exames</t>
  </si>
  <si>
    <t xml:space="preserve">Enxoval </t>
  </si>
  <si>
    <t>Manutenção Predial</t>
  </si>
  <si>
    <t>Engenharia Clínica</t>
  </si>
  <si>
    <t xml:space="preserve">Manutenção de estrutura física </t>
  </si>
  <si>
    <t>Manutenção e calibração de equipamentos</t>
  </si>
  <si>
    <t>CME</t>
  </si>
  <si>
    <t>Material esterilizado</t>
  </si>
  <si>
    <t>Banco de Sangue</t>
  </si>
  <si>
    <t>Hemocomponente</t>
  </si>
  <si>
    <t>TI</t>
  </si>
  <si>
    <t>Gestão de Pessoas</t>
  </si>
  <si>
    <t>Sitema e apoio</t>
  </si>
  <si>
    <t>Profissionais qualificados</t>
  </si>
  <si>
    <t>Equipe de Enfermagem</t>
  </si>
  <si>
    <t>Equipe Multidisciplinar</t>
  </si>
  <si>
    <t>Equipe Médica</t>
  </si>
  <si>
    <t>POP (equipe multidisciplinar)
Protocolo Clínico
Protocolo Cirúrgico
Protocolo de segurança do Paciente</t>
  </si>
  <si>
    <t>POP (equipe multidisciplinar e apoio)
Protocolo Clínico
Protocolo Cirúrgico
Protocolo de segurança do Paciente</t>
  </si>
  <si>
    <t>Plano de alta</t>
  </si>
  <si>
    <t>Controlar e monitorar / reunião de análise critica imediata. 
Prazo para notificação a Qualidade: 1 hora
Prazo para tratativa: 24 horas</t>
  </si>
  <si>
    <t>Monitorar / acompanhar mensal
Prazo para notificação a Qualidade: 24 horas
Prazo para tratativa: Mensal</t>
  </si>
  <si>
    <t>Gestão de Suprimentos</t>
  </si>
  <si>
    <t xml:space="preserve">Compra e entrega de materiais </t>
  </si>
  <si>
    <t>Queda do Paciente</t>
  </si>
  <si>
    <t>Avaliação inadequada do paciente</t>
  </si>
  <si>
    <t>Avaliação do paciente pelo médico e enfermeiro</t>
  </si>
  <si>
    <t>Verificar se precisa desligar o aparelho e acionar Engenharia Clínica</t>
  </si>
  <si>
    <t>Avaliar se precisa retirar o paciente e acionar Manutenção Predial</t>
  </si>
  <si>
    <t>Protocolo de Higienização das mãos</t>
  </si>
  <si>
    <t xml:space="preserve">Higienização das mãos </t>
  </si>
  <si>
    <t>Contaminação por Higienização inadequada das mãos</t>
  </si>
  <si>
    <t>Broncoaspiração</t>
  </si>
  <si>
    <t>Não discussão do plano de cuidados com equipe multidisciplinar</t>
  </si>
  <si>
    <t>Infecção</t>
  </si>
  <si>
    <t>Não cumprimento dos critérios de precaução</t>
  </si>
  <si>
    <t>Solicitação inadequada de exames</t>
  </si>
  <si>
    <t>Protocolo de Queda do Paciente</t>
  </si>
  <si>
    <t>Rotina diária de discussão de casos e round semanal</t>
  </si>
  <si>
    <t>Diretrizes da CCIH / Protocolo de Higienização das mãos</t>
  </si>
  <si>
    <t>POP precaução</t>
  </si>
  <si>
    <t>Protocolo de PNM</t>
  </si>
  <si>
    <t>Preenchimento do pedido de forma adequada</t>
  </si>
  <si>
    <t>POP e protocolos multidisciplinares</t>
  </si>
  <si>
    <t>Qualificação do Profissional</t>
  </si>
  <si>
    <t>Remanejamento de Profissionais</t>
  </si>
  <si>
    <t>Avaliação do médico para determinação de conduta</t>
  </si>
  <si>
    <t>Reavaliação do Paciente</t>
  </si>
  <si>
    <t>Avaliação do médico para reavaliação de conduta</t>
  </si>
  <si>
    <t>Providenciar novo pedido</t>
  </si>
  <si>
    <t>Rever o paciente de acordo com os critérios</t>
  </si>
  <si>
    <t>Hemocomponente com tipagem inadequada</t>
  </si>
  <si>
    <t>Medicamento trocado no Kit</t>
  </si>
  <si>
    <t>Atraso na entrega da medicação</t>
  </si>
  <si>
    <t>Lesão Por Pressão</t>
  </si>
  <si>
    <t>Reação alérgica a medicamento ou hemocomponente</t>
  </si>
  <si>
    <t>Erro de administração de medicamento</t>
  </si>
  <si>
    <t>Flebite</t>
  </si>
  <si>
    <t>Plano de aplicação medicamentoso</t>
  </si>
  <si>
    <t>Plano de aplicação medicamentoso / Protocolo de Hemotransfusão</t>
  </si>
  <si>
    <t>Protocolo de Lesão Por Pressão</t>
  </si>
  <si>
    <t>Realização do exame trocado ou inadequado</t>
  </si>
  <si>
    <t>Rotina de troca de acesso</t>
  </si>
  <si>
    <t>Preenchimento do pedido de forma adequada / Identificação do Paciente de acordo com o Protocolo</t>
  </si>
  <si>
    <t>Checagem do medicamento antes da dispensação</t>
  </si>
  <si>
    <t>Medicamento sem identificação</t>
  </si>
  <si>
    <t>Contratualização com Farmácia</t>
  </si>
  <si>
    <t>Checagem do Hemocomponente antes da dispensação</t>
  </si>
  <si>
    <t>Extubação</t>
  </si>
  <si>
    <t>Perda de acesso</t>
  </si>
  <si>
    <t>Rotina de troca e fixação de acesso</t>
  </si>
  <si>
    <t>Tromboembolismo</t>
  </si>
  <si>
    <t>Protocolo de profilaxia para TEV</t>
  </si>
  <si>
    <t>Lesão de córnea por exposição</t>
  </si>
  <si>
    <t>Protocolo de prevenção de úlcera de córnea</t>
  </si>
  <si>
    <t>Não adesão ao protocolo da Dor</t>
  </si>
  <si>
    <t>Identificação tardia da necessidade de apoio nutricional</t>
  </si>
  <si>
    <t>Não adesão as medidas de prevenção para Delirium</t>
  </si>
  <si>
    <t>Não adesão as medidas de prevenção de ventilação mecanica prolongada e suas complicações</t>
  </si>
  <si>
    <t>Protocolo de Alergia</t>
  </si>
  <si>
    <t>Protocolo de controle da dor</t>
  </si>
  <si>
    <t>Protocolo de Administração de dieta</t>
  </si>
  <si>
    <t>Protocolo de Delirium</t>
  </si>
  <si>
    <t>Protocolo de Sedação</t>
  </si>
  <si>
    <t>Reavaliação do acesso</t>
  </si>
  <si>
    <t>Inserção do novo acesso</t>
  </si>
  <si>
    <t>Protocolo Fisioterapia e equipe médica</t>
  </si>
  <si>
    <t>Protocolo de identificação de alergia</t>
  </si>
  <si>
    <t>Identificação inadequada de Alergia</t>
  </si>
  <si>
    <t>Revisão e adequação da identificação</t>
  </si>
  <si>
    <t>Falta de checagem de Alergia</t>
  </si>
  <si>
    <t>Checagem da Alergia</t>
  </si>
  <si>
    <t>Aplicação do Protocolo da Dor</t>
  </si>
  <si>
    <t>Avaliação Nutricional</t>
  </si>
  <si>
    <t>Aplicação do Protocolo da Delirium</t>
  </si>
  <si>
    <t>Aplicação do Protocolo de Sedação</t>
  </si>
  <si>
    <t>Administração adequada do medicamento</t>
  </si>
  <si>
    <t>Adesão do Protocolo de PNM</t>
  </si>
  <si>
    <t>Reavaliação das medidas preventivas para lesão por pressão</t>
  </si>
  <si>
    <t>Realização do novo exame</t>
  </si>
  <si>
    <t>Revisão dos critérios de precaução</t>
  </si>
  <si>
    <t>Entrega do medicamento</t>
  </si>
  <si>
    <t>Entrega do medicamento correto</t>
  </si>
  <si>
    <t>Identificação correta do medicamento</t>
  </si>
  <si>
    <t>Realização de nova tipagem</t>
  </si>
  <si>
    <t>Abrir plano de ação
Prazo para notificação a Qualidade: 12 horas
Prazo para tratativa: 1 semana</t>
  </si>
  <si>
    <t>Não requer ação específica. Nível de risco que é baixo mas deve ser gerenciado.</t>
  </si>
  <si>
    <t>A ação não deve continuar até que o risco seja imediatamente reduzido, sob pena de serem canceladas ações/procedimentos clínicos e até encerrados serviços clínicos.. Nível de risco tão alto que requer ação significante e urgente para reduzir sua magnitude.</t>
  </si>
  <si>
    <t>Devem ser implantadas as políticas de redução de risco a médio e curto prazo. Esforços devem ser feitos para reduzir o risco (custo x benefício).</t>
  </si>
  <si>
    <t>TOLERABILIDADE</t>
  </si>
  <si>
    <t xml:space="preserve">1. Tempo de Permanência
2.Taxa de Ocupação
3. Giro de Leito
4. Intervalo de Substituição
5.Taxa de mortalidade
6. Taxa de letalidade padronizada
7. Score de gravidade (Apache médio, por exemplo)
8. Mortalidade esperada pelo Apache
9. Taxa de Infecção (PAV, ICS e ITU)
10. Adesão aos bundles (PAV, ICS e ITU)
11. Taxa de evento adversos
12. Total de Notificações por quebra da contratualização 
</t>
  </si>
  <si>
    <t>Paciente a ser operado</t>
  </si>
  <si>
    <t>Recepção Central; Recepção da Emergência; Pronto Socorro; Unidade de Internação; UTI</t>
  </si>
  <si>
    <t>Leito dia; Unidade de Internação e UTI</t>
  </si>
  <si>
    <t>Setor de autorização</t>
  </si>
  <si>
    <t>Setor de acerto</t>
  </si>
  <si>
    <t>Pagamento</t>
  </si>
  <si>
    <t>Rouparia/ Hotelaria</t>
  </si>
  <si>
    <t>Convênio</t>
  </si>
  <si>
    <t>MAT/MED e OPME</t>
  </si>
  <si>
    <t>Paciente com cirurgia proposta realizada.</t>
  </si>
  <si>
    <t>POP de Agendamento cirúrgico</t>
  </si>
  <si>
    <t>Identificação e procedimentos inadequados</t>
  </si>
  <si>
    <t>Falta de informação do agendamento</t>
  </si>
  <si>
    <t>Lateralidade inadequada</t>
  </si>
  <si>
    <t>Agendamento da cirugia no sistema preenchendo campos obrigatórios</t>
  </si>
  <si>
    <t>Coletar as informações padronizadas</t>
  </si>
  <si>
    <t>Ligar para o médico e verificar a correção do cadastro</t>
  </si>
  <si>
    <t>Enfermeira do Centro Cirúrgico</t>
  </si>
  <si>
    <t>OPME não autorizado</t>
  </si>
  <si>
    <t>Autorização vencida</t>
  </si>
  <si>
    <t>Solicitação de OPME incompleta</t>
  </si>
  <si>
    <t>Pré - internação</t>
  </si>
  <si>
    <t>Cirurgia realizada sem autorização</t>
  </si>
  <si>
    <t>Cirurgia autorizada diferente da agendada</t>
  </si>
  <si>
    <t>Acompanhamento das autorizações</t>
  </si>
  <si>
    <t xml:space="preserve">Preenchimento correto da guia </t>
  </si>
  <si>
    <t>Uso de OPME não previsto</t>
  </si>
  <si>
    <t>Previsão de uso adicional de OPME</t>
  </si>
  <si>
    <t>Mapeamento de Processo</t>
  </si>
  <si>
    <t>Departamento: Centro Cirúrgico</t>
  </si>
  <si>
    <t>Revisado por:</t>
  </si>
  <si>
    <t>Data da Revisão:</t>
  </si>
  <si>
    <t>Alta precoce</t>
  </si>
  <si>
    <t>Protocolo de Transporte Seguro</t>
  </si>
  <si>
    <t>Falha na passagem do caso</t>
  </si>
  <si>
    <t>Falta de registro de alta</t>
  </si>
  <si>
    <t>Registro da alta no Sistema Tasy</t>
  </si>
  <si>
    <t>Protocolo de Comunicação Efetiva</t>
  </si>
  <si>
    <t>Transporte Inadequado</t>
  </si>
  <si>
    <t xml:space="preserve">Data da elaboração: dez/2017.                        Versão 1.0.                  Elaborado por: Milainy Babosa Ribeiro (Coord. Da qualidade); Nayane Falcão (Coord.  NUSP); Mayara Ferreira dos Santos Cananéia (Enfª Centro Cirúrgico).                                                                        </t>
  </si>
  <si>
    <t>Verifica no setor de autorizações</t>
  </si>
  <si>
    <t>Médico faz a solicitação do pedido adicional de OPME.</t>
  </si>
  <si>
    <t>Corrigir o pedido de autorização.</t>
  </si>
  <si>
    <t>Preparo da pele e tricotomia se necessário. Protocolo de Cirurgia Segura.</t>
  </si>
  <si>
    <t>Cirurgião</t>
  </si>
  <si>
    <t>Mediante autorização do procedimento.</t>
  </si>
  <si>
    <t>Anestesista</t>
  </si>
  <si>
    <t>De acordo com a avaliação pré anestésica</t>
  </si>
  <si>
    <t>Equipe de Enfermagem e Anestesista</t>
  </si>
  <si>
    <t>Liberação da ficha de pós anestesia</t>
  </si>
  <si>
    <t>Reavaliação da equipe médica</t>
  </si>
  <si>
    <t>Melhorar comunicação entre equipe</t>
  </si>
  <si>
    <t>Registrar as altas no sistema tasy</t>
  </si>
  <si>
    <t>Treinamento de equipe</t>
  </si>
  <si>
    <t>MAPA DE PROCESSO DO CENTRO CIRÚRGICO</t>
  </si>
  <si>
    <t>Autorização</t>
  </si>
  <si>
    <t>Autorização da cirurugia e OPME</t>
  </si>
  <si>
    <t xml:space="preserve">Recepção </t>
  </si>
  <si>
    <t xml:space="preserve">Pré-internação, internação </t>
  </si>
  <si>
    <t>Ausência de vagas</t>
  </si>
  <si>
    <t>Envio prévio do mapa cirúrgico</t>
  </si>
  <si>
    <t>Remarcar cirurgia</t>
  </si>
  <si>
    <t>PRODUTO: CIRURGIA</t>
  </si>
  <si>
    <t xml:space="preserve">PROCESSO: </t>
  </si>
  <si>
    <t>INÍCIO:</t>
  </si>
  <si>
    <t>MAPA DE PROCESSO E MATRIZ DE RISCOS</t>
  </si>
  <si>
    <r>
      <rPr>
        <b/>
        <u/>
        <sz val="14"/>
        <color indexed="9"/>
        <rFont val="Bahnschrift SemiLight Condensed"/>
        <family val="2"/>
      </rPr>
      <t>Resultado esperado do Processo</t>
    </r>
    <r>
      <rPr>
        <b/>
        <sz val="14"/>
        <color indexed="9"/>
        <rFont val="Bahnschrift SemiLight Condensed"/>
        <family val="2"/>
      </rPr>
      <t>: Cirurgia realizada de forma adequada, com autorização, sem evento adverso atendendo o protocolo de cirurgia segura</t>
    </r>
  </si>
  <si>
    <r>
      <t xml:space="preserve">QUEM FAZ </t>
    </r>
    <r>
      <rPr>
        <sz val="12"/>
        <rFont val="Bahnschrift SemiLight Condensed"/>
        <family val="2"/>
      </rPr>
      <t>(categoria profissional)</t>
    </r>
  </si>
  <si>
    <r>
      <t>COMO FAZ</t>
    </r>
    <r>
      <rPr>
        <sz val="12"/>
        <rFont val="Bahnschrift SemiLight Condensed"/>
        <family val="2"/>
      </rPr>
      <t xml:space="preserve"> (associar documento)</t>
    </r>
  </si>
  <si>
    <r>
      <t xml:space="preserve">PERIGO/RISCO </t>
    </r>
    <r>
      <rPr>
        <sz val="12"/>
        <rFont val="Bahnschrift SemiLight Condensed"/>
        <family val="2"/>
      </rPr>
      <t>(RISCO: probabilidade ou chance de lesão ou morte
PERIGO: condição ou conjunto de circunstância que tem o potencial de causar uma lesão ou morte)</t>
    </r>
  </si>
  <si>
    <r>
      <t>BARREIRA</t>
    </r>
    <r>
      <rPr>
        <sz val="12"/>
        <rFont val="Bahnschrift SemiLight Condensed"/>
        <family val="2"/>
      </rPr>
      <t xml:space="preserve"> (etapas do processo e/ou POP e/ou protocolos, etc)</t>
    </r>
  </si>
  <si>
    <r>
      <t>MITIGAÇÃO</t>
    </r>
    <r>
      <rPr>
        <sz val="12"/>
        <rFont val="Bahnschrift SemiLight Condensed"/>
        <family val="2"/>
      </rPr>
      <t xml:space="preserve"> (o que fazer após o evento acontecer para minimizar o dano?)</t>
    </r>
  </si>
  <si>
    <r>
      <t>RESULTADO</t>
    </r>
    <r>
      <rPr>
        <sz val="12"/>
        <rFont val="Bahnschrift SemiLight Condensed"/>
        <family val="2"/>
      </rPr>
      <t xml:space="preserve"> (Indicadores, relatórios de notificações e auditorias)</t>
    </r>
  </si>
  <si>
    <r>
      <t>SEM DANO</t>
    </r>
    <r>
      <rPr>
        <b/>
        <sz val="12"/>
        <color indexed="8"/>
        <rFont val="Bahnschrift SemiLight Condensed"/>
        <family val="2"/>
      </rPr>
      <t xml:space="preserve"> </t>
    </r>
  </si>
  <si>
    <r>
      <t>Sem lesão ou lesão superficial sem necessidade de tratamento</t>
    </r>
    <r>
      <rPr>
        <sz val="12"/>
        <color indexed="8"/>
        <rFont val="Bahnschrift SemiLight Condensed"/>
        <family val="2"/>
      </rPr>
      <t xml:space="preserve"> </t>
    </r>
  </si>
  <si>
    <t>PRODUTO:</t>
  </si>
  <si>
    <t>Código:</t>
  </si>
  <si>
    <t>Emissão:</t>
  </si>
  <si>
    <t>Versão:</t>
  </si>
  <si>
    <t>Revisão:</t>
  </si>
  <si>
    <t>FORNECEDORES:</t>
  </si>
  <si>
    <t>ENTRADAS:</t>
  </si>
  <si>
    <t>CLIENTES:</t>
  </si>
  <si>
    <t>SAÍDA:</t>
  </si>
  <si>
    <r>
      <t xml:space="preserve">QUEM FAZ </t>
    </r>
    <r>
      <rPr>
        <sz val="12"/>
        <rFont val="Bahnschrift"/>
        <family val="2"/>
      </rPr>
      <t>(categoria profissional)</t>
    </r>
  </si>
  <si>
    <r>
      <t>COMO FAZ</t>
    </r>
    <r>
      <rPr>
        <sz val="12"/>
        <rFont val="Bahnschrift"/>
        <family val="2"/>
      </rPr>
      <t xml:space="preserve"> (associar documento)</t>
    </r>
  </si>
  <si>
    <r>
      <t xml:space="preserve">PERIGO/RISCO
 </t>
    </r>
    <r>
      <rPr>
        <sz val="12"/>
        <rFont val="Bahnschrift"/>
        <family val="2"/>
      </rPr>
      <t>RISCO: probabilidade ou chance de resultados fora do previsto
PERIGO: condição ou conjunto de circunstância que tem o potencial de causar dano</t>
    </r>
  </si>
  <si>
    <r>
      <t xml:space="preserve">BARREIRA
</t>
    </r>
    <r>
      <rPr>
        <sz val="12"/>
        <rFont val="Bahnschrift"/>
        <family val="2"/>
      </rPr>
      <t>etapas do processo e/ou POP e/ou protocolos, etc</t>
    </r>
  </si>
  <si>
    <r>
      <t>MITIGAÇÃO</t>
    </r>
    <r>
      <rPr>
        <sz val="12"/>
        <rFont val="Bahnschrift"/>
        <family val="2"/>
      </rPr>
      <t xml:space="preserve"> 
o que fazer após o evento acontecer para minimizar o dano?</t>
    </r>
  </si>
  <si>
    <r>
      <t>RESULTADO</t>
    </r>
    <r>
      <rPr>
        <sz val="12"/>
        <rFont val="Bahnschrift"/>
        <family val="2"/>
      </rPr>
      <t xml:space="preserve"> 
Indicadores, relatórios de notificações e auditorias</t>
    </r>
  </si>
  <si>
    <t>SEM GRAVIDADE</t>
  </si>
  <si>
    <t>POUCO GRAVE</t>
  </si>
  <si>
    <t>GRAVE</t>
  </si>
  <si>
    <t>MUITO GRAV E</t>
  </si>
  <si>
    <t>EXTREMAMENTE GRAVE</t>
  </si>
  <si>
    <t xml:space="preserve">Danos mínimos ou moderados, mas com duração rápida, e apenas intervenções mínimas sendo necessárias (ex.: observação extra, investigação, revisão de tratamento leve). </t>
  </si>
  <si>
    <t xml:space="preserve">Com necessidade de intervenção, com dano ou perda de função permanente ou de longo prazo. </t>
  </si>
  <si>
    <t xml:space="preserve">Necessidade de intervenção, ou intervenção de grande porte, causando grande dano ou perda de função permanente ou de longo prazo. </t>
  </si>
  <si>
    <t>Dentro das possibilidades, em curto prazo o evento dano irreversível</t>
  </si>
  <si>
    <t>MUITO GRAVE</t>
  </si>
  <si>
    <t>EXTREM. GRAVE</t>
  </si>
  <si>
    <t>Nível de risco tão alto que requer ação significante e urgente para reduzir sua magnitude.</t>
  </si>
  <si>
    <t>Não requer ação específica. Nível de risco que é baixo, mas deve ser gerenciado.</t>
  </si>
  <si>
    <t>Dpt. Pessoal</t>
  </si>
  <si>
    <t>Pedro Victor De Hollanda Nery</t>
  </si>
  <si>
    <t>TOLERÁVEL</t>
  </si>
  <si>
    <t>RAZOÁVEL (ALARP)</t>
  </si>
  <si>
    <t>INACEITÁVEL</t>
  </si>
  <si>
    <t>Elaborado Por:</t>
  </si>
  <si>
    <t>Verificado Por:</t>
  </si>
  <si>
    <t>Aprovado Por:</t>
  </si>
  <si>
    <t>Comercial</t>
  </si>
  <si>
    <t>Diretoria Geral</t>
  </si>
  <si>
    <t>Marketing</t>
  </si>
  <si>
    <t>MAPEAMENTO DE PROCESSO</t>
  </si>
  <si>
    <t>MP.FIS.001</t>
  </si>
  <si>
    <t>DEPART.</t>
  </si>
  <si>
    <t>Contabilidade</t>
  </si>
  <si>
    <t>Contador Consultor</t>
  </si>
  <si>
    <t>Controladoria</t>
  </si>
  <si>
    <t>Dpt. Fiscal</t>
  </si>
  <si>
    <t>Diretoria CCA</t>
  </si>
  <si>
    <t>Diretoria Operacional</t>
  </si>
  <si>
    <t>Financeiro</t>
  </si>
  <si>
    <t>Gerência Operacional</t>
  </si>
  <si>
    <t>Onboarding</t>
  </si>
  <si>
    <t>Operação PJ</t>
  </si>
  <si>
    <t>Relacionamento</t>
  </si>
  <si>
    <t>Recursos Humanos</t>
  </si>
  <si>
    <t>Societário</t>
  </si>
  <si>
    <t>Tecnologia</t>
  </si>
  <si>
    <t>BPO Financeiro</t>
  </si>
  <si>
    <t>Consultoria</t>
  </si>
  <si>
    <t>Diretoria</t>
  </si>
  <si>
    <t>Operações</t>
  </si>
  <si>
    <t>Qualidade</t>
  </si>
  <si>
    <t>Recálculo Guia Do Dpt. Fiscal</t>
  </si>
  <si>
    <t>Cobrança Recálculo Dpt. Fiscal</t>
  </si>
  <si>
    <t>Regularização Pendências Tributárias</t>
  </si>
  <si>
    <t>Retificação DEFIS</t>
  </si>
  <si>
    <t>Primeiro Processamento Fiscal</t>
  </si>
  <si>
    <t>Exclusão SIMPLES</t>
  </si>
  <si>
    <t>Nota Fiscal Com Retenção</t>
  </si>
  <si>
    <t>Recálculo Guia-Taxa</t>
  </si>
  <si>
    <t>Declaração De Faturamento</t>
  </si>
  <si>
    <t>Retificação Impostos</t>
  </si>
  <si>
    <t>Reprocessamento Contábil</t>
  </si>
  <si>
    <t>Adesão Parcelamento Fiscal</t>
  </si>
  <si>
    <t>Alteração-Exclusão Parcel. Fiscal</t>
  </si>
  <si>
    <t>Reembolso-Pagamento Prej. Causados</t>
  </si>
  <si>
    <t>#Thabata Araújo#</t>
  </si>
  <si>
    <t>#Erika Nascimento#</t>
  </si>
  <si>
    <r>
      <rPr>
        <b/>
        <u/>
        <sz val="14"/>
        <rFont val="Bahnschrift"/>
        <family val="2"/>
      </rPr>
      <t>Resultado Esperado do Processo</t>
    </r>
    <r>
      <rPr>
        <b/>
        <sz val="14"/>
        <rFont val="Bahnschrift"/>
        <family val="2"/>
      </rPr>
      <t xml:space="preserve">: </t>
    </r>
    <r>
      <rPr>
        <b/>
        <i/>
        <sz val="14"/>
        <rFont val="Bahnschrift"/>
        <family val="2"/>
      </rPr>
      <t>XXX</t>
    </r>
  </si>
  <si>
    <t xml:space="preserve">Sem necessidade de tratamento </t>
  </si>
  <si>
    <t>Abrir plano de ação
Prazo para notificação a Qualidade: XX dias
Prazo para tratativa: X semana</t>
  </si>
  <si>
    <t>Atendimento de Recálculo com Garantia de Cobrança à MPE</t>
  </si>
  <si>
    <t>Manifestação de Necessidade de Recálculo de Guias</t>
  </si>
  <si>
    <t>Alerta de Serviço Extraordinário</t>
  </si>
  <si>
    <t>Aprovação de Cobrança Extra</t>
  </si>
  <si>
    <t>Recálculo e Envio de Guia</t>
  </si>
  <si>
    <t>Por Livre Demanda, O CCA/MPE Envia (Já Alertando MPE Sobre Serviço E Cobrança Extraordinária), Por Telefone, E-mail Ou DigiSAC, Aos Cuidados Do Dpt. Fiscal, Requerimento Para Recálculo De Guias, Identificando A Qual Competência Se Refere À Pendência E O Tributo Em Questão</t>
  </si>
  <si>
    <t>Após Providência, Enviando por Sistema, E-mail ao Cliente Remetente, Anexando Guia Revisada, Com Registro de Envio</t>
  </si>
  <si>
    <t>Autorização e Efetuação de Cobrança</t>
  </si>
  <si>
    <t>Abrir Sub Atendimento de Cobrança</t>
  </si>
  <si>
    <t>-</t>
  </si>
  <si>
    <t>Atender Cada MPE Por Vez E 
Consultar Check List Operacional, Em GClick, Para Não Esquecer De Proceder Tarefa</t>
  </si>
  <si>
    <t>Consultar Check List Operacional, Em GClick, Para Não Esquecer De Proceder Tarefa</t>
  </si>
  <si>
    <t>Abrir Sub Atendimento de Cobrança, em GClick</t>
  </si>
  <si>
    <t>Cobrança Recálculo Guia-Taxa</t>
  </si>
  <si>
    <t>02</t>
  </si>
  <si>
    <r>
      <rPr>
        <sz val="12"/>
        <color rgb="FF3333FF"/>
        <rFont val="Bahnschrift"/>
        <family val="2"/>
      </rPr>
      <t>FORM.FIS.001 - Recálculo Guia Dpt. Fiscal</t>
    </r>
    <r>
      <rPr>
        <sz val="12"/>
        <rFont val="Bahnschrift"/>
        <family val="2"/>
      </rPr>
      <t xml:space="preserve">
IN.FIS.001 - Recálculo Guia Dpt. Fiscal
PR.FIS.001 - Recálculo Guia Dpt. Fiscal</t>
    </r>
  </si>
  <si>
    <t>Indice Prod. Funcionários;
Tempo Médio Processam. Docs.;
Clientes Ativos;
Clientes em Onboarding;
Clientes em Saída;
Saída de Clientes Concluídas;
Novas Saídas Solicitadas;
Faturamento;
Faturamento Administrado;
Novos Tickets Gerados;
Funcionários Na Operação;
GMV / Funcionário;
Clientes Por Func. na Operação;
Clientes SIMPLES Nacional;
Clientes Lucro Presumido;
Clientes Lucro Real;
Cumprimento de Prazos;
Taxa Erros em Relatórios;
Multas;
SOLICITAÇÕES Em Aberto;
OBRIGAÇÕES Fechadas no Prazo;
OBRIGAÇÕES Fechadas Fora Prazo;
SOLICITAÇÕES Fechadas no Prazo;
SOLICITAÇÕES Fechadas Fora Prazo;
Nível Satisfação Cliente;
Tempo Médio Resp. Clientes;
Mensagens Recebidas;
Tempo Médio Chamados;
Tempo Médio 1º Tempo Espera;
Tempo Médio Espera;
Qtde. Atendimentos</t>
  </si>
  <si>
    <t>Diretoria Deve Enviar Atendimento Para Controladoria Cobrar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</si>
</sst>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3" x14ac:knownFonts="1">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4"/>
      <color indexed="9"/>
      <name val="Bahnschrift SemiLight Condensed"/>
      <family val="2"/>
    </font>
    <font>
      <b/>
      <u/>
      <sz val="14"/>
      <color indexed="9"/>
      <name val="Bahnschrift SemiLight Condensed"/>
      <family val="2"/>
    </font>
    <font>
      <b/>
      <sz val="12"/>
      <name val="Bahnschrift SemiLight Condensed"/>
      <family val="2"/>
    </font>
    <font>
      <sz val="10"/>
      <name val="Bahnschrift SemiLight Condensed"/>
      <family val="2"/>
    </font>
    <font>
      <sz val="12"/>
      <name val="Bahnschrift SemiLight Condensed"/>
      <family val="2"/>
    </font>
    <font>
      <b/>
      <sz val="12"/>
      <color indexed="8"/>
      <name val="Bahnschrift SemiLight Condensed"/>
      <family val="2"/>
    </font>
    <font>
      <sz val="12"/>
      <color indexed="8"/>
      <name val="Bahnschrift SemiLight Condensed"/>
      <family val="2"/>
    </font>
    <font>
      <sz val="9"/>
      <color indexed="81"/>
      <name val="Tahoma"/>
      <family val="2"/>
    </font>
    <font>
      <b/>
      <sz val="12"/>
      <name val="Bahnschrift"/>
      <family val="2"/>
    </font>
    <font>
      <sz val="12"/>
      <name val="Bahnschrift"/>
      <family val="2"/>
    </font>
    <font>
      <b/>
      <sz val="10"/>
      <name val="Bahnschrift"/>
      <family val="2"/>
    </font>
    <font>
      <sz val="12"/>
      <color theme="1"/>
      <name val="Bahnschrift SemiLight Condensed"/>
      <family val="2"/>
    </font>
    <font>
      <b/>
      <sz val="12"/>
      <color theme="0"/>
      <name val="Bahnschrift SemiLight Condensed"/>
      <family val="2"/>
    </font>
    <font>
      <b/>
      <sz val="12"/>
      <color rgb="FF000000"/>
      <name val="Bahnschrift SemiLight Condensed"/>
      <family val="2"/>
    </font>
    <font>
      <sz val="12"/>
      <color rgb="FF000000"/>
      <name val="Bahnschrift SemiLight Condensed"/>
      <family val="2"/>
    </font>
    <font>
      <b/>
      <sz val="12"/>
      <color rgb="FF1A1A1A"/>
      <name val="Bahnschrift SemiLight Condensed"/>
      <family val="2"/>
    </font>
    <font>
      <sz val="6"/>
      <color theme="0" tint="-0.499984740745262"/>
      <name val="Arial"/>
      <family val="2"/>
      <charset val="1"/>
    </font>
    <font>
      <sz val="6"/>
      <color theme="0" tint="-0.499984740745262"/>
      <name val="Bahnschrift Light SemiCondensed"/>
      <family val="2"/>
    </font>
    <font>
      <b/>
      <sz val="14"/>
      <color rgb="FF000000"/>
      <name val="Bahnschrift SemiLight Condensed"/>
      <family val="2"/>
    </font>
    <font>
      <b/>
      <sz val="14"/>
      <color theme="0"/>
      <name val="Bahnschrift SemiLight Condensed"/>
      <family val="2"/>
    </font>
    <font>
      <b/>
      <sz val="12"/>
      <color theme="1"/>
      <name val="Bahnschrift SemiLight Condensed"/>
      <family val="2"/>
    </font>
    <font>
      <sz val="9"/>
      <color indexed="81"/>
      <name val="Segoe UI"/>
      <family val="2"/>
    </font>
    <font>
      <b/>
      <sz val="12"/>
      <color rgb="FF3333FF"/>
      <name val="Bahnschrift"/>
      <family val="2"/>
    </font>
    <font>
      <sz val="6"/>
      <name val="Bahnschrift"/>
      <family val="2"/>
    </font>
    <font>
      <b/>
      <sz val="14"/>
      <name val="Bahnschrift"/>
      <family val="2"/>
    </font>
    <font>
      <b/>
      <u/>
      <sz val="14"/>
      <name val="Bahnschrift"/>
      <family val="2"/>
    </font>
    <font>
      <b/>
      <i/>
      <sz val="14"/>
      <name val="Bahnschrift"/>
      <family val="2"/>
    </font>
    <font>
      <sz val="9"/>
      <name val="Bahnschrift"/>
      <family val="2"/>
    </font>
    <font>
      <b/>
      <sz val="12"/>
      <color theme="0"/>
      <name val="Bahnschrift"/>
      <family val="2"/>
    </font>
    <font>
      <b/>
      <sz val="12"/>
      <color theme="0"/>
      <name val="Bahnschrift"/>
      <family val="2"/>
    </font>
    <font>
      <b/>
      <sz val="16"/>
      <color rgb="FF3333FF"/>
      <name val="Bahnschrift"/>
      <family val="2"/>
    </font>
    <font>
      <sz val="12"/>
      <color rgb="FF3333FF"/>
      <name val="Bahnschrift"/>
      <family val="2"/>
    </font>
    <font>
      <b/>
      <sz val="12"/>
      <color rgb="FFFF0000"/>
      <name val="Bahnschrift"/>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rgb="FF002060"/>
        <bgColor indexed="64"/>
      </patternFill>
    </fill>
    <fill>
      <patternFill patternType="solid">
        <fgColor theme="4" tint="0.79998168889431442"/>
        <bgColor indexed="64"/>
      </patternFill>
    </fill>
    <fill>
      <patternFill patternType="solid">
        <fgColor rgb="FF008000"/>
        <bgColor indexed="64"/>
      </patternFill>
    </fill>
    <fill>
      <patternFill patternType="solid">
        <fgColor rgb="FFFFFF00"/>
        <bgColor indexed="64"/>
      </patternFill>
    </fill>
    <fill>
      <patternFill patternType="solid">
        <fgColor rgb="FFFF6600"/>
        <bgColor indexed="64"/>
      </patternFill>
    </fill>
    <fill>
      <patternFill patternType="solid">
        <fgColor rgb="FFFF0000"/>
        <bgColor indexed="64"/>
      </patternFill>
    </fill>
    <fill>
      <patternFill patternType="solid">
        <fgColor rgb="FF00B050"/>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4" tint="0.59999389629810485"/>
        <bgColor indexed="64"/>
      </patternFill>
    </fill>
  </fills>
  <borders count="6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indexed="64"/>
      </right>
      <top/>
      <bottom style="dotted">
        <color theme="0"/>
      </bottom>
      <diagonal/>
    </border>
    <border>
      <left style="thin">
        <color indexed="64"/>
      </left>
      <right style="thin">
        <color theme="0"/>
      </right>
      <top/>
      <bottom style="dotted">
        <color theme="0"/>
      </bottom>
      <diagonal/>
    </border>
    <border>
      <left style="medium">
        <color indexed="64"/>
      </left>
      <right/>
      <top/>
      <bottom style="dotted">
        <color theme="0"/>
      </bottom>
      <diagonal/>
    </border>
    <border>
      <left/>
      <right/>
      <top/>
      <bottom style="dotted">
        <color theme="0"/>
      </bottom>
      <diagonal/>
    </border>
    <border>
      <left/>
      <right style="medium">
        <color indexed="64"/>
      </right>
      <top/>
      <bottom style="dotted">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theme="0"/>
      </bottom>
      <diagonal/>
    </border>
    <border>
      <left/>
      <right/>
      <top style="thin">
        <color rgb="FF000000"/>
      </top>
      <bottom style="thin">
        <color theme="0"/>
      </bottom>
      <diagonal/>
    </border>
    <border>
      <left/>
      <right style="thin">
        <color rgb="FF000000"/>
      </right>
      <top style="thin">
        <color rgb="FF000000"/>
      </top>
      <bottom style="thin">
        <color theme="0"/>
      </bottom>
      <diagonal/>
    </border>
    <border>
      <left style="dotted">
        <color theme="0"/>
      </left>
      <right/>
      <top style="thin">
        <color theme="0"/>
      </top>
      <bottom style="dotted">
        <color theme="0"/>
      </bottom>
      <diagonal/>
    </border>
    <border>
      <left/>
      <right/>
      <top style="thin">
        <color theme="0"/>
      </top>
      <bottom style="dotted">
        <color theme="0"/>
      </bottom>
      <diagonal/>
    </border>
    <border>
      <left/>
      <right style="thin">
        <color theme="0"/>
      </right>
      <top style="thin">
        <color theme="0"/>
      </top>
      <bottom style="dotted">
        <color theme="0"/>
      </bottom>
      <diagonal/>
    </border>
    <border>
      <left style="thin">
        <color theme="0"/>
      </left>
      <right/>
      <top/>
      <bottom style="dotted">
        <color theme="0"/>
      </bottom>
      <diagonal/>
    </border>
    <border>
      <left/>
      <right style="thin">
        <color theme="0"/>
      </right>
      <top/>
      <bottom style="dotted">
        <color theme="0"/>
      </bottom>
      <diagonal/>
    </border>
    <border>
      <left style="dotted">
        <color theme="0"/>
      </left>
      <right/>
      <top style="dotted">
        <color theme="0"/>
      </top>
      <bottom style="dotted">
        <color theme="0"/>
      </bottom>
      <diagonal/>
    </border>
    <border>
      <left/>
      <right/>
      <top style="dotted">
        <color theme="0"/>
      </top>
      <bottom style="dotted">
        <color theme="0"/>
      </bottom>
      <diagonal/>
    </border>
    <border>
      <left/>
      <right style="medium">
        <color indexed="64"/>
      </right>
      <top style="thin">
        <color indexed="64"/>
      </top>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4" borderId="0" applyNumberFormat="0" applyBorder="0" applyAlignment="0" applyProtection="0"/>
    <xf numFmtId="0" fontId="6" fillId="16" borderId="1" applyNumberFormat="0" applyAlignment="0" applyProtection="0"/>
    <xf numFmtId="0" fontId="7" fillId="17" borderId="2" applyNumberFormat="0" applyAlignment="0" applyProtection="0"/>
    <xf numFmtId="0" fontId="8" fillId="0" borderId="3" applyNumberFormat="0" applyFill="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21" borderId="0" applyNumberFormat="0" applyBorder="0" applyAlignment="0" applyProtection="0"/>
    <xf numFmtId="0" fontId="9" fillId="7" borderId="1" applyNumberFormat="0" applyAlignment="0" applyProtection="0"/>
    <xf numFmtId="0" fontId="10" fillId="3" borderId="0" applyNumberFormat="0" applyBorder="0" applyAlignment="0" applyProtection="0"/>
    <xf numFmtId="0" fontId="11" fillId="22" borderId="0" applyNumberFormat="0" applyBorder="0" applyAlignment="0" applyProtection="0"/>
    <xf numFmtId="0" fontId="1" fillId="0" borderId="0"/>
    <xf numFmtId="0" fontId="2" fillId="0" borderId="0"/>
    <xf numFmtId="0" fontId="2" fillId="23" borderId="4" applyNumberFormat="0" applyFont="0" applyAlignment="0" applyProtection="0"/>
    <xf numFmtId="0" fontId="12" fillId="16" borderId="5"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6" fillId="0" borderId="6" applyNumberFormat="0" applyFill="0" applyAlignment="0" applyProtection="0"/>
    <xf numFmtId="0" fontId="17" fillId="0" borderId="7" applyNumberFormat="0" applyFill="0" applyAlignment="0" applyProtection="0"/>
    <xf numFmtId="0" fontId="18" fillId="0" borderId="8" applyNumberFormat="0" applyFill="0" applyAlignment="0" applyProtection="0"/>
    <xf numFmtId="0" fontId="18" fillId="0" borderId="0" applyNumberFormat="0" applyFill="0" applyBorder="0" applyAlignment="0" applyProtection="0"/>
    <xf numFmtId="0" fontId="15" fillId="0" borderId="0" applyNumberFormat="0" applyFill="0" applyBorder="0" applyAlignment="0" applyProtection="0"/>
    <xf numFmtId="0" fontId="19" fillId="0" borderId="9" applyNumberFormat="0" applyFill="0" applyAlignment="0" applyProtection="0"/>
  </cellStyleXfs>
  <cellXfs count="242">
    <xf numFmtId="0" fontId="0" fillId="0" borderId="0" xfId="0"/>
    <xf numFmtId="0" fontId="31" fillId="0" borderId="0" xfId="0" applyFont="1"/>
    <xf numFmtId="0" fontId="32" fillId="25" borderId="45" xfId="0" applyFont="1" applyFill="1" applyBorder="1" applyAlignment="1">
      <alignment vertical="center"/>
    </xf>
    <xf numFmtId="0" fontId="32" fillId="25" borderId="46" xfId="0" applyFont="1" applyFill="1" applyBorder="1" applyAlignment="1">
      <alignment vertical="center"/>
    </xf>
    <xf numFmtId="0" fontId="31" fillId="0" borderId="0" xfId="0" applyFont="1" applyAlignment="1">
      <alignment vertical="center"/>
    </xf>
    <xf numFmtId="0" fontId="24" fillId="0" borderId="10" xfId="0" applyFont="1" applyBorder="1" applyAlignment="1">
      <alignment horizontal="left" vertical="center" wrapText="1"/>
    </xf>
    <xf numFmtId="0" fontId="22" fillId="26" borderId="10" xfId="0" applyFont="1" applyFill="1" applyBorder="1" applyAlignment="1">
      <alignment horizontal="center" vertical="center" wrapText="1"/>
    </xf>
    <xf numFmtId="0" fontId="22" fillId="24" borderId="11" xfId="0" applyFont="1" applyFill="1" applyBorder="1" applyAlignment="1">
      <alignment vertical="center" wrapText="1"/>
    </xf>
    <xf numFmtId="0" fontId="24" fillId="0" borderId="11" xfId="0" applyFont="1" applyBorder="1" applyAlignment="1">
      <alignment vertical="center" wrapText="1"/>
    </xf>
    <xf numFmtId="0" fontId="24" fillId="0" borderId="10" xfId="0" applyFont="1" applyBorder="1" applyAlignment="1">
      <alignment horizontal="center" vertical="center" wrapText="1"/>
    </xf>
    <xf numFmtId="0" fontId="22" fillId="24" borderId="12" xfId="0" applyFont="1" applyFill="1" applyBorder="1" applyAlignment="1">
      <alignment vertical="center" wrapText="1"/>
    </xf>
    <xf numFmtId="0" fontId="24" fillId="0" borderId="12" xfId="0" applyFont="1" applyBorder="1" applyAlignment="1">
      <alignment vertical="center" wrapText="1"/>
    </xf>
    <xf numFmtId="0" fontId="22" fillId="24" borderId="13" xfId="0" applyFont="1" applyFill="1" applyBorder="1" applyAlignment="1">
      <alignment vertical="center" wrapText="1"/>
    </xf>
    <xf numFmtId="0" fontId="24" fillId="0" borderId="13" xfId="0" applyFont="1" applyBorder="1" applyAlignment="1">
      <alignment vertical="center" wrapText="1"/>
    </xf>
    <xf numFmtId="0" fontId="31" fillId="0" borderId="14" xfId="0" applyFont="1" applyBorder="1"/>
    <xf numFmtId="0" fontId="24" fillId="0" borderId="13" xfId="0" applyFont="1" applyBorder="1" applyAlignment="1">
      <alignment horizontal="left" vertical="center" wrapText="1"/>
    </xf>
    <xf numFmtId="0" fontId="24" fillId="0" borderId="13" xfId="0" applyFont="1" applyBorder="1" applyAlignment="1">
      <alignment horizontal="center" vertical="center" wrapText="1"/>
    </xf>
    <xf numFmtId="0" fontId="31" fillId="0" borderId="10" xfId="0" applyFont="1" applyBorder="1"/>
    <xf numFmtId="0" fontId="22" fillId="24" borderId="0" xfId="0" applyFont="1" applyFill="1" applyAlignment="1">
      <alignment wrapText="1"/>
    </xf>
    <xf numFmtId="0" fontId="24" fillId="24" borderId="0" xfId="0" applyFont="1" applyFill="1" applyAlignment="1">
      <alignment wrapText="1"/>
    </xf>
    <xf numFmtId="0" fontId="31" fillId="0" borderId="15" xfId="0" applyFont="1" applyBorder="1"/>
    <xf numFmtId="0" fontId="22" fillId="0" borderId="10" xfId="0" applyFont="1" applyBorder="1" applyAlignment="1">
      <alignment horizontal="center" vertical="center" wrapText="1"/>
    </xf>
    <xf numFmtId="0" fontId="33" fillId="27" borderId="10" xfId="0" applyFont="1" applyFill="1" applyBorder="1" applyAlignment="1">
      <alignment horizontal="center" vertical="center" wrapText="1" readingOrder="1"/>
    </xf>
    <xf numFmtId="0" fontId="33" fillId="28" borderId="10" xfId="0" applyFont="1" applyFill="1" applyBorder="1" applyAlignment="1">
      <alignment horizontal="center" vertical="center" wrapText="1" readingOrder="1"/>
    </xf>
    <xf numFmtId="0" fontId="33" fillId="29" borderId="10" xfId="0" applyFont="1" applyFill="1" applyBorder="1" applyAlignment="1">
      <alignment horizontal="center" vertical="center" wrapText="1" readingOrder="1"/>
    </xf>
    <xf numFmtId="0" fontId="33" fillId="30" borderId="10" xfId="0" applyFont="1" applyFill="1" applyBorder="1" applyAlignment="1">
      <alignment horizontal="center" vertical="center" wrapText="1" readingOrder="1"/>
    </xf>
    <xf numFmtId="0" fontId="33" fillId="0" borderId="10" xfId="0" applyFont="1" applyBorder="1" applyAlignment="1">
      <alignment horizontal="center" vertical="center" wrapText="1" readingOrder="1"/>
    </xf>
    <xf numFmtId="0" fontId="34" fillId="28" borderId="10" xfId="0" applyFont="1" applyFill="1" applyBorder="1" applyAlignment="1">
      <alignment horizontal="center" vertical="center" wrapText="1" readingOrder="1"/>
    </xf>
    <xf numFmtId="0" fontId="34" fillId="30" borderId="10" xfId="0" applyFont="1" applyFill="1" applyBorder="1" applyAlignment="1">
      <alignment horizontal="center" vertical="center" wrapText="1" readingOrder="1"/>
    </xf>
    <xf numFmtId="0" fontId="34" fillId="31" borderId="10" xfId="0" applyFont="1" applyFill="1" applyBorder="1" applyAlignment="1">
      <alignment horizontal="center" vertical="center" wrapText="1" readingOrder="1"/>
    </xf>
    <xf numFmtId="0" fontId="34" fillId="31" borderId="13" xfId="0" applyFont="1" applyFill="1" applyBorder="1" applyAlignment="1">
      <alignment horizontal="center" vertical="center" wrapText="1" readingOrder="1"/>
    </xf>
    <xf numFmtId="0" fontId="34" fillId="30" borderId="13" xfId="0" applyFont="1" applyFill="1" applyBorder="1" applyAlignment="1">
      <alignment horizontal="center" vertical="center" wrapText="1" readingOrder="1"/>
    </xf>
    <xf numFmtId="0" fontId="34" fillId="30" borderId="10" xfId="0" applyFont="1" applyFill="1" applyBorder="1" applyAlignment="1">
      <alignment horizontal="center" vertical="center" wrapText="1"/>
    </xf>
    <xf numFmtId="0" fontId="35" fillId="30" borderId="10" xfId="0" applyFont="1" applyFill="1" applyBorder="1" applyAlignment="1">
      <alignment horizontal="center" vertical="center" wrapText="1"/>
    </xf>
    <xf numFmtId="0" fontId="34" fillId="28" borderId="10" xfId="0" applyFont="1" applyFill="1" applyBorder="1" applyAlignment="1">
      <alignment horizontal="center" vertical="center" wrapText="1"/>
    </xf>
    <xf numFmtId="0" fontId="35" fillId="28" borderId="10" xfId="0" applyFont="1" applyFill="1" applyBorder="1" applyAlignment="1">
      <alignment horizontal="center" vertical="center" wrapText="1"/>
    </xf>
    <xf numFmtId="0" fontId="34" fillId="31" borderId="10" xfId="0" applyFont="1" applyFill="1" applyBorder="1" applyAlignment="1">
      <alignment horizontal="center" vertical="center" wrapText="1"/>
    </xf>
    <xf numFmtId="0" fontId="33" fillId="31" borderId="10" xfId="0" applyFont="1" applyFill="1" applyBorder="1" applyAlignment="1">
      <alignment horizontal="center" vertical="center" wrapText="1"/>
    </xf>
    <xf numFmtId="0" fontId="36" fillId="0" borderId="0" xfId="0" applyFont="1" applyAlignment="1">
      <alignment horizontal="center" vertical="center"/>
    </xf>
    <xf numFmtId="0" fontId="37" fillId="0" borderId="0" xfId="0" applyFont="1" applyAlignment="1">
      <alignment horizontal="center" vertical="center"/>
    </xf>
    <xf numFmtId="0" fontId="37" fillId="0" borderId="0" xfId="0" applyFont="1" applyAlignment="1">
      <alignment horizontal="center" vertical="center" wrapText="1"/>
    </xf>
    <xf numFmtId="0" fontId="28" fillId="0" borderId="10" xfId="0" applyFont="1" applyBorder="1" applyAlignment="1">
      <alignment vertical="center" wrapText="1"/>
    </xf>
    <xf numFmtId="0" fontId="28" fillId="0" borderId="10" xfId="0" applyFont="1" applyBorder="1" applyAlignment="1">
      <alignment wrapText="1"/>
    </xf>
    <xf numFmtId="0" fontId="28" fillId="0" borderId="11" xfId="0" applyFont="1" applyBorder="1" applyAlignment="1">
      <alignment wrapText="1"/>
    </xf>
    <xf numFmtId="0" fontId="28" fillId="26" borderId="10" xfId="0" applyFont="1" applyFill="1" applyBorder="1" applyAlignment="1">
      <alignment horizontal="center" vertical="center" wrapText="1"/>
    </xf>
    <xf numFmtId="0" fontId="28" fillId="31" borderId="10" xfId="0" applyFont="1" applyFill="1" applyBorder="1" applyAlignment="1">
      <alignment horizontal="center" vertical="center" wrapText="1"/>
    </xf>
    <xf numFmtId="0" fontId="28" fillId="28" borderId="10" xfId="0" applyFont="1" applyFill="1" applyBorder="1" applyAlignment="1">
      <alignment horizontal="center" vertical="center" wrapText="1"/>
    </xf>
    <xf numFmtId="0" fontId="28" fillId="32" borderId="10" xfId="0" applyFont="1" applyFill="1" applyBorder="1" applyAlignment="1">
      <alignment horizontal="center" vertical="center" wrapText="1"/>
    </xf>
    <xf numFmtId="0" fontId="28" fillId="30" borderId="10" xfId="0" applyFont="1" applyFill="1" applyBorder="1" applyAlignment="1">
      <alignment horizontal="center" vertical="center" wrapText="1"/>
    </xf>
    <xf numFmtId="14" fontId="28" fillId="0" borderId="18" xfId="0" applyNumberFormat="1" applyFont="1" applyBorder="1" applyAlignment="1">
      <alignment horizontal="center" wrapText="1"/>
    </xf>
    <xf numFmtId="0" fontId="28" fillId="0" borderId="18" xfId="0" applyFont="1" applyBorder="1" applyAlignment="1">
      <alignment horizontal="center" wrapText="1"/>
    </xf>
    <xf numFmtId="0" fontId="29" fillId="28" borderId="10" xfId="0" applyFont="1" applyFill="1" applyBorder="1" applyAlignment="1">
      <alignment horizontal="center" vertical="center" wrapText="1"/>
    </xf>
    <xf numFmtId="0" fontId="28" fillId="0" borderId="10" xfId="0" applyFont="1" applyBorder="1" applyAlignment="1">
      <alignment horizontal="center" vertical="center" wrapText="1"/>
    </xf>
    <xf numFmtId="0" fontId="29" fillId="30" borderId="10" xfId="0" applyFont="1" applyFill="1" applyBorder="1" applyAlignment="1">
      <alignment horizontal="center" vertical="center" wrapText="1"/>
    </xf>
    <xf numFmtId="0" fontId="29" fillId="0" borderId="10" xfId="0" applyFont="1" applyBorder="1" applyAlignment="1">
      <alignment horizontal="center" vertical="center" wrapText="1"/>
    </xf>
    <xf numFmtId="0" fontId="29" fillId="31" borderId="10" xfId="0" applyFont="1" applyFill="1" applyBorder="1" applyAlignment="1">
      <alignment horizontal="center" vertical="center" wrapText="1"/>
    </xf>
    <xf numFmtId="49" fontId="42" fillId="0" borderId="18" xfId="0" applyNumberFormat="1" applyFont="1" applyBorder="1" applyAlignment="1">
      <alignment horizontal="center" wrapText="1"/>
    </xf>
    <xf numFmtId="14" fontId="42" fillId="0" borderId="19" xfId="0" applyNumberFormat="1" applyFont="1" applyBorder="1" applyAlignment="1">
      <alignment horizontal="center" wrapText="1"/>
    </xf>
    <xf numFmtId="0" fontId="29" fillId="0" borderId="0" xfId="0" applyFont="1" applyAlignment="1">
      <alignment wrapText="1"/>
    </xf>
    <xf numFmtId="0" fontId="43" fillId="0" borderId="0" xfId="0" applyFont="1" applyAlignment="1">
      <alignment horizontal="center" vertical="center"/>
    </xf>
    <xf numFmtId="0" fontId="29" fillId="0" borderId="0" xfId="0" applyFont="1" applyAlignment="1">
      <alignment vertical="center" wrapText="1"/>
    </xf>
    <xf numFmtId="0" fontId="47" fillId="0" borderId="10" xfId="0" applyFont="1" applyBorder="1" applyAlignment="1">
      <alignment horizontal="center" vertical="center" wrapText="1"/>
    </xf>
    <xf numFmtId="0" fontId="29" fillId="0" borderId="14" xfId="0" applyFont="1" applyBorder="1" applyAlignment="1">
      <alignment wrapText="1"/>
    </xf>
    <xf numFmtId="0" fontId="29" fillId="31" borderId="13" xfId="0" applyFont="1" applyFill="1" applyBorder="1" applyAlignment="1">
      <alignment horizontal="center" vertical="center" wrapText="1"/>
    </xf>
    <xf numFmtId="0" fontId="29" fillId="30" borderId="13" xfId="0" applyFont="1" applyFill="1" applyBorder="1" applyAlignment="1">
      <alignment horizontal="center" vertical="center" wrapText="1"/>
    </xf>
    <xf numFmtId="0" fontId="29" fillId="31" borderId="11" xfId="0" applyFont="1" applyFill="1" applyBorder="1" applyAlignment="1">
      <alignment horizontal="center" vertical="center" wrapText="1"/>
    </xf>
    <xf numFmtId="0" fontId="28" fillId="31" borderId="11" xfId="0" applyFont="1" applyFill="1" applyBorder="1" applyAlignment="1">
      <alignment horizontal="center" vertical="center" wrapText="1"/>
    </xf>
    <xf numFmtId="0" fontId="43" fillId="0" borderId="0" xfId="0" applyFont="1" applyAlignment="1">
      <alignment horizontal="center" vertical="center" wrapText="1"/>
    </xf>
    <xf numFmtId="0" fontId="48" fillId="25" borderId="16" xfId="0" applyFont="1" applyFill="1" applyBorder="1" applyAlignment="1">
      <alignment vertical="center" wrapText="1"/>
    </xf>
    <xf numFmtId="14" fontId="48" fillId="25" borderId="20" xfId="0" applyNumberFormat="1" applyFont="1" applyFill="1" applyBorder="1" applyAlignment="1">
      <alignment horizontal="center" vertical="center" wrapText="1"/>
    </xf>
    <xf numFmtId="0" fontId="48" fillId="25" borderId="17" xfId="0" applyFont="1" applyFill="1" applyBorder="1" applyAlignment="1">
      <alignment vertical="center" wrapText="1"/>
    </xf>
    <xf numFmtId="0" fontId="30" fillId="0" borderId="10" xfId="0" applyFont="1" applyBorder="1" applyAlignment="1">
      <alignment vertical="center" wrapText="1"/>
    </xf>
    <xf numFmtId="0" fontId="28" fillId="24" borderId="10" xfId="0" applyFont="1" applyFill="1" applyBorder="1" applyAlignment="1">
      <alignment vertical="center" wrapText="1"/>
    </xf>
    <xf numFmtId="0" fontId="51" fillId="0" borderId="43" xfId="0" applyFont="1" applyBorder="1" applyAlignment="1">
      <alignment vertical="center" wrapText="1"/>
    </xf>
    <xf numFmtId="0" fontId="51" fillId="0" borderId="44" xfId="0" applyFont="1" applyBorder="1" applyAlignment="1">
      <alignment vertical="center" wrapText="1"/>
    </xf>
    <xf numFmtId="0" fontId="28" fillId="0" borderId="10" xfId="0" applyFont="1" applyBorder="1" applyAlignment="1">
      <alignment horizontal="center" vertical="center" wrapText="1"/>
    </xf>
    <xf numFmtId="0" fontId="44" fillId="25" borderId="47" xfId="0" applyFont="1" applyFill="1" applyBorder="1" applyAlignment="1">
      <alignment horizontal="left" vertical="center" wrapText="1"/>
    </xf>
    <xf numFmtId="0" fontId="44" fillId="25" borderId="48" xfId="0" applyFont="1" applyFill="1" applyBorder="1" applyAlignment="1">
      <alignment horizontal="left" vertical="center" wrapText="1"/>
    </xf>
    <xf numFmtId="0" fontId="44" fillId="25" borderId="49" xfId="0" applyFont="1" applyFill="1" applyBorder="1" applyAlignment="1">
      <alignment horizontal="left" vertical="center" wrapText="1"/>
    </xf>
    <xf numFmtId="0" fontId="29" fillId="30" borderId="10" xfId="0" applyFont="1" applyFill="1" applyBorder="1" applyAlignment="1">
      <alignment horizontal="center" vertical="center" wrapText="1"/>
    </xf>
    <xf numFmtId="0" fontId="28" fillId="35" borderId="25" xfId="0" applyFont="1" applyFill="1" applyBorder="1" applyAlignment="1">
      <alignment horizontal="center" vertical="center" wrapText="1"/>
    </xf>
    <xf numFmtId="0" fontId="28" fillId="35" borderId="15" xfId="0" applyFont="1" applyFill="1" applyBorder="1" applyAlignment="1">
      <alignment horizontal="center" vertical="center" wrapText="1"/>
    </xf>
    <xf numFmtId="0" fontId="28" fillId="34" borderId="24" xfId="0" applyFont="1" applyFill="1" applyBorder="1" applyAlignment="1">
      <alignment horizontal="center" vertical="center" wrapText="1"/>
    </xf>
    <xf numFmtId="0" fontId="28" fillId="34" borderId="10" xfId="0" applyFont="1" applyFill="1" applyBorder="1" applyAlignment="1">
      <alignment horizontal="center" vertical="center" wrapText="1"/>
    </xf>
    <xf numFmtId="0" fontId="29" fillId="33" borderId="10" xfId="0" applyFont="1" applyFill="1" applyBorder="1" applyAlignment="1">
      <alignment horizontal="center" vertical="center" wrapText="1"/>
    </xf>
    <xf numFmtId="0" fontId="29" fillId="33" borderId="18" xfId="0" applyFont="1" applyFill="1" applyBorder="1" applyAlignment="1">
      <alignment horizontal="center" vertical="center" wrapText="1"/>
    </xf>
    <xf numFmtId="0" fontId="29" fillId="33" borderId="26" xfId="0" applyFont="1" applyFill="1" applyBorder="1" applyAlignment="1">
      <alignment horizontal="center" vertical="center" wrapText="1"/>
    </xf>
    <xf numFmtId="0" fontId="29" fillId="33" borderId="15" xfId="0" applyFont="1" applyFill="1" applyBorder="1" applyAlignment="1">
      <alignment horizontal="center" vertical="center" wrapText="1"/>
    </xf>
    <xf numFmtId="0" fontId="51" fillId="33" borderId="10" xfId="0" applyFont="1" applyFill="1" applyBorder="1" applyAlignment="1">
      <alignment horizontal="center" vertical="center" wrapText="1"/>
    </xf>
    <xf numFmtId="0" fontId="51" fillId="33" borderId="18" xfId="0" applyFont="1" applyFill="1" applyBorder="1" applyAlignment="1">
      <alignment horizontal="center" vertical="center" wrapText="1"/>
    </xf>
    <xf numFmtId="0" fontId="29" fillId="31" borderId="25" xfId="0" applyFont="1" applyFill="1" applyBorder="1" applyAlignment="1">
      <alignment horizontal="center" vertical="center" wrapText="1"/>
    </xf>
    <xf numFmtId="0" fontId="29" fillId="31" borderId="15" xfId="0" applyFont="1" applyFill="1" applyBorder="1" applyAlignment="1">
      <alignment horizontal="center" vertical="center" wrapText="1"/>
    </xf>
    <xf numFmtId="0" fontId="29" fillId="33" borderId="25" xfId="0" applyFont="1" applyFill="1" applyBorder="1" applyAlignment="1">
      <alignment horizontal="center" vertical="center" wrapText="1"/>
    </xf>
    <xf numFmtId="0" fontId="29" fillId="33" borderId="27" xfId="0" applyFont="1" applyFill="1" applyBorder="1" applyAlignment="1">
      <alignment horizontal="center" vertical="center" wrapText="1"/>
    </xf>
    <xf numFmtId="0" fontId="28" fillId="38" borderId="29" xfId="0" applyFont="1" applyFill="1" applyBorder="1" applyAlignment="1">
      <alignment horizontal="center" vertical="center" wrapText="1"/>
    </xf>
    <xf numFmtId="0" fontId="28" fillId="38" borderId="14" xfId="0" applyFont="1" applyFill="1" applyBorder="1" applyAlignment="1">
      <alignment horizontal="center" vertical="center" wrapText="1"/>
    </xf>
    <xf numFmtId="0" fontId="28" fillId="38" borderId="30" xfId="0" applyFont="1" applyFill="1" applyBorder="1" applyAlignment="1">
      <alignment horizontal="center" vertical="center" wrapText="1"/>
    </xf>
    <xf numFmtId="0" fontId="28" fillId="35" borderId="10" xfId="0" applyFont="1" applyFill="1" applyBorder="1" applyAlignment="1">
      <alignment horizontal="center" vertical="center" wrapText="1"/>
    </xf>
    <xf numFmtId="0" fontId="29" fillId="28" borderId="10" xfId="0" applyFont="1" applyFill="1" applyBorder="1" applyAlignment="1">
      <alignment horizontal="center" vertical="center" wrapText="1"/>
    </xf>
    <xf numFmtId="0" fontId="29" fillId="32" borderId="10" xfId="0" applyFont="1" applyFill="1" applyBorder="1" applyAlignment="1">
      <alignment horizontal="center" vertical="center" wrapText="1"/>
    </xf>
    <xf numFmtId="0" fontId="29" fillId="0" borderId="25" xfId="0" applyFont="1" applyBorder="1" applyAlignment="1">
      <alignment horizontal="center" vertical="center" wrapText="1"/>
    </xf>
    <xf numFmtId="0" fontId="29" fillId="0" borderId="15" xfId="0" applyFont="1" applyBorder="1" applyAlignment="1">
      <alignment horizontal="center" vertical="center" wrapText="1"/>
    </xf>
    <xf numFmtId="0" fontId="29" fillId="0" borderId="10" xfId="0" applyFont="1" applyBorder="1" applyAlignment="1">
      <alignment horizontal="center" vertical="center" wrapText="1"/>
    </xf>
    <xf numFmtId="0" fontId="29" fillId="31" borderId="10" xfId="0" applyFont="1" applyFill="1" applyBorder="1" applyAlignment="1">
      <alignment horizontal="center" vertical="center" wrapText="1"/>
    </xf>
    <xf numFmtId="0" fontId="29" fillId="33" borderId="21" xfId="0" applyFont="1" applyFill="1" applyBorder="1" applyAlignment="1">
      <alignment horizontal="center" vertical="center" wrapText="1"/>
    </xf>
    <xf numFmtId="0" fontId="29" fillId="33" borderId="22" xfId="0" applyFont="1" applyFill="1" applyBorder="1" applyAlignment="1">
      <alignment horizontal="center" vertical="center" wrapText="1"/>
    </xf>
    <xf numFmtId="0" fontId="29" fillId="33" borderId="23" xfId="0" applyFont="1" applyFill="1" applyBorder="1" applyAlignment="1">
      <alignment horizontal="center" vertical="center" wrapText="1"/>
    </xf>
    <xf numFmtId="0" fontId="29" fillId="31" borderId="27" xfId="0" applyFont="1" applyFill="1" applyBorder="1" applyAlignment="1">
      <alignment horizontal="center" vertical="center" wrapText="1"/>
    </xf>
    <xf numFmtId="0" fontId="28" fillId="34" borderId="18" xfId="0" applyFont="1" applyFill="1" applyBorder="1" applyAlignment="1">
      <alignment horizontal="center" vertical="center" wrapText="1"/>
    </xf>
    <xf numFmtId="0" fontId="51" fillId="33" borderId="25" xfId="0" applyFont="1" applyFill="1" applyBorder="1" applyAlignment="1">
      <alignment horizontal="center" vertical="center" wrapText="1"/>
    </xf>
    <xf numFmtId="0" fontId="51" fillId="33" borderId="27" xfId="0" applyFont="1" applyFill="1" applyBorder="1" applyAlignment="1">
      <alignment horizontal="center" vertical="center" wrapText="1"/>
    </xf>
    <xf numFmtId="0" fontId="51" fillId="33" borderId="15" xfId="0" applyFont="1" applyFill="1" applyBorder="1" applyAlignment="1">
      <alignment horizontal="center" vertical="center" wrapText="1"/>
    </xf>
    <xf numFmtId="0" fontId="28" fillId="37" borderId="26" xfId="0" applyFont="1" applyFill="1" applyBorder="1" applyAlignment="1">
      <alignment horizontal="center" vertical="center" wrapText="1"/>
    </xf>
    <xf numFmtId="0" fontId="28" fillId="37" borderId="27" xfId="0" applyFont="1" applyFill="1" applyBorder="1" applyAlignment="1">
      <alignment horizontal="center" vertical="center" wrapText="1"/>
    </xf>
    <xf numFmtId="0" fontId="28" fillId="37" borderId="28" xfId="0" applyFont="1" applyFill="1" applyBorder="1" applyAlignment="1">
      <alignment horizontal="center" vertical="center" wrapText="1"/>
    </xf>
    <xf numFmtId="0" fontId="29" fillId="0" borderId="10" xfId="0" applyFont="1" applyBorder="1" applyAlignment="1">
      <alignment horizontal="left" vertical="center" wrapText="1"/>
    </xf>
    <xf numFmtId="0" fontId="29" fillId="0" borderId="10" xfId="0" applyFont="1" applyBorder="1" applyAlignment="1">
      <alignment horizontal="justify" vertical="center" wrapText="1"/>
    </xf>
    <xf numFmtId="0" fontId="29" fillId="28" borderId="13" xfId="0" applyFont="1" applyFill="1" applyBorder="1" applyAlignment="1">
      <alignment horizontal="center" vertical="center" wrapText="1"/>
    </xf>
    <xf numFmtId="0" fontId="52" fillId="0" borderId="10" xfId="0" applyFont="1" applyBorder="1" applyAlignment="1">
      <alignment horizontal="center" vertical="center" wrapText="1"/>
    </xf>
    <xf numFmtId="0" fontId="29" fillId="0" borderId="13" xfId="0" applyFont="1" applyBorder="1" applyAlignment="1">
      <alignment horizontal="justify" vertical="center" wrapText="1"/>
    </xf>
    <xf numFmtId="0" fontId="29" fillId="0" borderId="11" xfId="0" applyFont="1" applyBorder="1" applyAlignment="1">
      <alignment horizontal="left" vertical="center" wrapText="1"/>
    </xf>
    <xf numFmtId="0" fontId="29" fillId="33" borderId="32" xfId="0" applyFont="1" applyFill="1" applyBorder="1" applyAlignment="1">
      <alignment horizontal="center" vertical="center" wrapText="1"/>
    </xf>
    <xf numFmtId="0" fontId="29" fillId="33" borderId="33" xfId="0" applyFont="1" applyFill="1" applyBorder="1" applyAlignment="1">
      <alignment horizontal="center" vertical="center" wrapText="1"/>
    </xf>
    <xf numFmtId="0" fontId="29" fillId="33" borderId="68" xfId="0" applyFont="1" applyFill="1" applyBorder="1" applyAlignment="1">
      <alignment horizontal="center" vertical="center" wrapText="1"/>
    </xf>
    <xf numFmtId="0" fontId="29" fillId="33" borderId="43" xfId="0" applyFont="1" applyFill="1" applyBorder="1" applyAlignment="1">
      <alignment horizontal="center" vertical="center" wrapText="1"/>
    </xf>
    <xf numFmtId="0" fontId="29" fillId="33" borderId="14" xfId="0" applyFont="1" applyFill="1" applyBorder="1" applyAlignment="1">
      <alignment horizontal="center" vertical="center" wrapText="1"/>
    </xf>
    <xf numFmtId="0" fontId="29" fillId="33" borderId="30" xfId="0" applyFont="1" applyFill="1" applyBorder="1" applyAlignment="1">
      <alignment horizontal="center" vertical="center" wrapText="1"/>
    </xf>
    <xf numFmtId="0" fontId="29" fillId="0" borderId="32"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43" xfId="0" applyFont="1" applyBorder="1" applyAlignment="1">
      <alignment horizontal="center" vertical="center" wrapText="1"/>
    </xf>
    <xf numFmtId="0" fontId="29" fillId="0" borderId="44" xfId="0" applyFont="1" applyBorder="1" applyAlignment="1">
      <alignment horizontal="center" vertical="center" wrapText="1"/>
    </xf>
    <xf numFmtId="0" fontId="28" fillId="35" borderId="27" xfId="0" applyFont="1" applyFill="1" applyBorder="1" applyAlignment="1">
      <alignment horizontal="center" wrapText="1"/>
    </xf>
    <xf numFmtId="0" fontId="28" fillId="36" borderId="13" xfId="0" applyFont="1" applyFill="1" applyBorder="1" applyAlignment="1">
      <alignment horizontal="center" vertical="center" wrapText="1"/>
    </xf>
    <xf numFmtId="0" fontId="29" fillId="0" borderId="11" xfId="0" applyFont="1" applyBorder="1" applyAlignment="1">
      <alignment horizontal="center" vertical="center" wrapText="1"/>
    </xf>
    <xf numFmtId="0" fontId="29" fillId="0" borderId="12" xfId="0" applyFont="1" applyBorder="1" applyAlignment="1">
      <alignment horizontal="center" vertical="center" wrapText="1"/>
    </xf>
    <xf numFmtId="0" fontId="29" fillId="0" borderId="13" xfId="0" applyFont="1" applyBorder="1" applyAlignment="1">
      <alignment horizontal="center" vertical="center" wrapText="1"/>
    </xf>
    <xf numFmtId="0" fontId="29" fillId="33" borderId="31" xfId="0" applyFont="1" applyFill="1" applyBorder="1" applyAlignment="1">
      <alignment horizontal="center" vertical="center" wrapText="1"/>
    </xf>
    <xf numFmtId="0" fontId="29" fillId="0" borderId="21" xfId="0" applyFont="1" applyBorder="1" applyAlignment="1">
      <alignment horizontal="center" vertical="center" wrapText="1"/>
    </xf>
    <xf numFmtId="0" fontId="29" fillId="0" borderId="23"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0" xfId="0" applyFont="1" applyAlignment="1">
      <alignment horizontal="center" vertical="center" wrapText="1"/>
    </xf>
    <xf numFmtId="0" fontId="28" fillId="0" borderId="36"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2" xfId="0" applyFont="1" applyBorder="1" applyAlignment="1">
      <alignment horizontal="center" vertical="center" wrapText="1"/>
    </xf>
    <xf numFmtId="0" fontId="49" fillId="25" borderId="16" xfId="0" applyFont="1" applyFill="1" applyBorder="1" applyAlignment="1">
      <alignment horizontal="center" vertical="center" wrapText="1"/>
    </xf>
    <xf numFmtId="0" fontId="49" fillId="25" borderId="17" xfId="0" applyFont="1" applyFill="1" applyBorder="1" applyAlignment="1">
      <alignment horizontal="center" vertical="center" wrapText="1"/>
    </xf>
    <xf numFmtId="0" fontId="49" fillId="25" borderId="37" xfId="0" applyFont="1" applyFill="1" applyBorder="1" applyAlignment="1">
      <alignment horizontal="center" vertical="center" wrapText="1"/>
    </xf>
    <xf numFmtId="0" fontId="28" fillId="0" borderId="38" xfId="0" applyFont="1" applyBorder="1" applyAlignment="1">
      <alignment horizontal="center" wrapText="1"/>
    </xf>
    <xf numFmtId="0" fontId="28" fillId="0" borderId="39" xfId="0" applyFont="1" applyBorder="1" applyAlignment="1">
      <alignment horizontal="center" wrapText="1"/>
    </xf>
    <xf numFmtId="0" fontId="28" fillId="0" borderId="11" xfId="0" applyFont="1" applyBorder="1" applyAlignment="1">
      <alignment vertical="center" wrapText="1"/>
    </xf>
    <xf numFmtId="0" fontId="28" fillId="0" borderId="12" xfId="0" applyFont="1" applyBorder="1" applyAlignment="1">
      <alignment vertical="center" wrapText="1"/>
    </xf>
    <xf numFmtId="0" fontId="50" fillId="0" borderId="40" xfId="0" applyFont="1" applyBorder="1" applyAlignment="1">
      <alignment horizontal="center" vertical="center" wrapText="1"/>
    </xf>
    <xf numFmtId="0" fontId="50" fillId="0" borderId="41" xfId="0" applyFont="1" applyBorder="1" applyAlignment="1">
      <alignment horizontal="center" vertical="center" wrapText="1"/>
    </xf>
    <xf numFmtId="0" fontId="50" fillId="0" borderId="42" xfId="0" applyFont="1" applyBorder="1" applyAlignment="1">
      <alignment horizontal="center" vertical="center" wrapText="1"/>
    </xf>
    <xf numFmtId="0" fontId="50" fillId="0" borderId="43" xfId="0" applyFont="1" applyBorder="1" applyAlignment="1">
      <alignment horizontal="center" vertical="center" wrapText="1"/>
    </xf>
    <xf numFmtId="0" fontId="50" fillId="0" borderId="14" xfId="0" applyFont="1" applyBorder="1" applyAlignment="1">
      <alignment horizontal="center" vertical="center" wrapText="1"/>
    </xf>
    <xf numFmtId="0" fontId="50" fillId="0" borderId="44" xfId="0" applyFont="1" applyBorder="1" applyAlignment="1">
      <alignment horizontal="center" vertical="center" wrapText="1"/>
    </xf>
    <xf numFmtId="0" fontId="51" fillId="33" borderId="26" xfId="0" applyFont="1" applyFill="1" applyBorder="1" applyAlignment="1">
      <alignment horizontal="center" vertical="center" wrapText="1"/>
    </xf>
    <xf numFmtId="0" fontId="28" fillId="0" borderId="11" xfId="0" applyFont="1" applyBorder="1" applyAlignment="1">
      <alignment horizontal="left" vertical="center" wrapText="1"/>
    </xf>
    <xf numFmtId="0" fontId="28" fillId="0" borderId="12" xfId="0" applyFont="1" applyBorder="1" applyAlignment="1">
      <alignment horizontal="left" vertical="center" wrapText="1"/>
    </xf>
    <xf numFmtId="0" fontId="30" fillId="0" borderId="11" xfId="0" applyFont="1" applyBorder="1" applyAlignment="1">
      <alignment horizontal="center" vertical="center" wrapText="1"/>
    </xf>
    <xf numFmtId="0" fontId="30" fillId="0" borderId="13" xfId="0" applyFont="1" applyBorder="1" applyAlignment="1">
      <alignment horizontal="center" vertical="center" wrapText="1"/>
    </xf>
    <xf numFmtId="0" fontId="33" fillId="0" borderId="50" xfId="0" applyFont="1" applyBorder="1" applyAlignment="1">
      <alignment horizontal="center" wrapText="1"/>
    </xf>
    <xf numFmtId="0" fontId="33" fillId="0" borderId="51" xfId="0" applyFont="1" applyBorder="1" applyAlignment="1">
      <alignment horizontal="center" wrapText="1"/>
    </xf>
    <xf numFmtId="0" fontId="33" fillId="0" borderId="52" xfId="0" applyFont="1" applyBorder="1" applyAlignment="1">
      <alignment horizontal="center"/>
    </xf>
    <xf numFmtId="0" fontId="33" fillId="0" borderId="53" xfId="0" applyFont="1" applyBorder="1" applyAlignment="1">
      <alignment horizontal="center"/>
    </xf>
    <xf numFmtId="0" fontId="33" fillId="0" borderId="54" xfId="0" applyFont="1" applyBorder="1" applyAlignment="1">
      <alignment horizontal="center"/>
    </xf>
    <xf numFmtId="0" fontId="38" fillId="0" borderId="55" xfId="0" applyFont="1" applyBorder="1" applyAlignment="1">
      <alignment horizontal="center"/>
    </xf>
    <xf numFmtId="0" fontId="38" fillId="0" borderId="56" xfId="0" applyFont="1" applyBorder="1" applyAlignment="1">
      <alignment horizontal="center"/>
    </xf>
    <xf numFmtId="0" fontId="38" fillId="0" borderId="57" xfId="0" applyFont="1" applyBorder="1" applyAlignment="1">
      <alignment horizontal="center"/>
    </xf>
    <xf numFmtId="0" fontId="33" fillId="0" borderId="58" xfId="0" applyFont="1" applyBorder="1" applyAlignment="1">
      <alignment horizontal="left"/>
    </xf>
    <xf numFmtId="0" fontId="33" fillId="0" borderId="59" xfId="0" applyFont="1" applyBorder="1" applyAlignment="1">
      <alignment horizontal="left"/>
    </xf>
    <xf numFmtId="0" fontId="33" fillId="0" borderId="60" xfId="0" applyFont="1" applyBorder="1" applyAlignment="1">
      <alignment horizontal="left"/>
    </xf>
    <xf numFmtId="0" fontId="32" fillId="25" borderId="61" xfId="0" applyFont="1" applyFill="1" applyBorder="1" applyAlignment="1">
      <alignment horizontal="left" vertical="center"/>
    </xf>
    <xf numFmtId="0" fontId="32" fillId="25" borderId="62" xfId="0" applyFont="1" applyFill="1" applyBorder="1" applyAlignment="1">
      <alignment horizontal="left" vertical="center"/>
    </xf>
    <xf numFmtId="0" fontId="32" fillId="25" borderId="63" xfId="0" applyFont="1" applyFill="1" applyBorder="1" applyAlignment="1">
      <alignment horizontal="left" vertical="center"/>
    </xf>
    <xf numFmtId="0" fontId="32" fillId="25" borderId="64" xfId="0" applyFont="1" applyFill="1" applyBorder="1" applyAlignment="1">
      <alignment horizontal="center" vertical="center"/>
    </xf>
    <xf numFmtId="0" fontId="32" fillId="25" borderId="48" xfId="0" applyFont="1" applyFill="1" applyBorder="1" applyAlignment="1">
      <alignment horizontal="center" vertical="center"/>
    </xf>
    <xf numFmtId="0" fontId="32" fillId="25" borderId="65" xfId="0" applyFont="1" applyFill="1" applyBorder="1" applyAlignment="1">
      <alignment horizontal="center" vertical="center"/>
    </xf>
    <xf numFmtId="0" fontId="20" fillId="25" borderId="66" xfId="0" applyFont="1" applyFill="1" applyBorder="1" applyAlignment="1">
      <alignment horizontal="center" vertical="center" wrapText="1"/>
    </xf>
    <xf numFmtId="0" fontId="39" fillId="25" borderId="67" xfId="0" applyFont="1" applyFill="1" applyBorder="1" applyAlignment="1">
      <alignment horizontal="center" vertical="center" wrapText="1"/>
    </xf>
    <xf numFmtId="0" fontId="40" fillId="38" borderId="43" xfId="0" applyFont="1" applyFill="1" applyBorder="1" applyAlignment="1">
      <alignment horizontal="center" vertical="center"/>
    </xf>
    <xf numFmtId="0" fontId="40" fillId="38" borderId="14" xfId="0" applyFont="1" applyFill="1" applyBorder="1" applyAlignment="1">
      <alignment horizontal="center" vertical="center"/>
    </xf>
    <xf numFmtId="0" fontId="40" fillId="38" borderId="44" xfId="0" applyFont="1" applyFill="1" applyBorder="1" applyAlignment="1">
      <alignment horizontal="center" vertical="center"/>
    </xf>
    <xf numFmtId="0" fontId="22" fillId="34" borderId="10" xfId="0" applyFont="1" applyFill="1" applyBorder="1" applyAlignment="1">
      <alignment horizontal="center" vertical="center" wrapText="1"/>
    </xf>
    <xf numFmtId="0" fontId="22" fillId="37" borderId="25" xfId="0" applyFont="1" applyFill="1" applyBorder="1" applyAlignment="1">
      <alignment horizontal="center" vertical="center" wrapText="1"/>
    </xf>
    <xf numFmtId="0" fontId="22" fillId="37" borderId="27" xfId="0" applyFont="1" applyFill="1" applyBorder="1" applyAlignment="1">
      <alignment horizontal="center" vertical="center" wrapText="1"/>
    </xf>
    <xf numFmtId="0" fontId="22" fillId="37" borderId="15" xfId="0" applyFont="1" applyFill="1" applyBorder="1" applyAlignment="1">
      <alignment horizontal="center" vertical="center" wrapText="1"/>
    </xf>
    <xf numFmtId="0" fontId="23" fillId="0" borderId="10" xfId="0" applyFont="1" applyBorder="1" applyAlignment="1">
      <alignment horizontal="left" vertical="center" wrapText="1"/>
    </xf>
    <xf numFmtId="0" fontId="24" fillId="0" borderId="10" xfId="0" applyFont="1" applyBorder="1" applyAlignment="1">
      <alignment horizontal="left" vertical="center" wrapText="1"/>
    </xf>
    <xf numFmtId="0" fontId="24" fillId="0" borderId="32" xfId="0" applyFont="1" applyBorder="1" applyAlignment="1">
      <alignment horizontal="center" vertical="center" wrapText="1"/>
    </xf>
    <xf numFmtId="0" fontId="24" fillId="0" borderId="33" xfId="0" applyFont="1" applyBorder="1" applyAlignment="1">
      <alignment horizontal="center" vertical="center" wrapText="1"/>
    </xf>
    <xf numFmtId="0" fontId="24" fillId="0" borderId="34"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0" xfId="0" applyFont="1" applyAlignment="1">
      <alignment horizontal="center" vertical="center" wrapText="1"/>
    </xf>
    <xf numFmtId="0" fontId="24" fillId="0" borderId="36" xfId="0" applyFont="1" applyBorder="1" applyAlignment="1">
      <alignment horizontal="center" vertical="center" wrapText="1"/>
    </xf>
    <xf numFmtId="0" fontId="24" fillId="0" borderId="43" xfId="0" applyFont="1" applyBorder="1" applyAlignment="1">
      <alignment horizontal="center" vertical="center" wrapText="1"/>
    </xf>
    <xf numFmtId="0" fontId="24" fillId="0" borderId="14" xfId="0" applyFont="1" applyBorder="1" applyAlignment="1">
      <alignment horizontal="center" vertical="center" wrapText="1"/>
    </xf>
    <xf numFmtId="0" fontId="24" fillId="0" borderId="44" xfId="0" applyFont="1" applyBorder="1" applyAlignment="1">
      <alignment horizontal="center" vertical="center" wrapText="1"/>
    </xf>
    <xf numFmtId="0" fontId="24" fillId="0" borderId="25" xfId="0" applyFont="1" applyBorder="1" applyAlignment="1">
      <alignment horizontal="left" vertical="center" wrapText="1"/>
    </xf>
    <xf numFmtId="0" fontId="24" fillId="0" borderId="15" xfId="0" applyFont="1" applyBorder="1" applyAlignment="1">
      <alignment horizontal="left" vertical="center" wrapText="1"/>
    </xf>
    <xf numFmtId="0" fontId="31" fillId="0" borderId="25" xfId="0" applyFont="1" applyBorder="1" applyAlignment="1">
      <alignment horizontal="left" vertical="center"/>
    </xf>
    <xf numFmtId="0" fontId="31" fillId="0" borderId="15" xfId="0" applyFont="1" applyBorder="1" applyAlignment="1">
      <alignment horizontal="left" vertical="center"/>
    </xf>
    <xf numFmtId="0" fontId="22" fillId="36" borderId="10" xfId="0" applyFont="1" applyFill="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13" xfId="0" applyFont="1" applyBorder="1" applyAlignment="1">
      <alignment horizontal="center" vertical="center" wrapText="1"/>
    </xf>
    <xf numFmtId="0" fontId="22" fillId="24" borderId="12" xfId="0" applyFont="1" applyFill="1" applyBorder="1" applyAlignment="1">
      <alignment horizontal="center" vertical="center" wrapText="1"/>
    </xf>
    <xf numFmtId="0" fontId="22" fillId="24" borderId="25" xfId="0" applyFont="1" applyFill="1" applyBorder="1" applyAlignment="1">
      <alignment horizontal="left" vertical="center" wrapText="1"/>
    </xf>
    <xf numFmtId="0" fontId="22" fillId="24" borderId="27" xfId="0" applyFont="1" applyFill="1" applyBorder="1" applyAlignment="1">
      <alignment horizontal="left" vertical="center" wrapText="1"/>
    </xf>
    <xf numFmtId="0" fontId="22" fillId="24" borderId="15" xfId="0" applyFont="1" applyFill="1" applyBorder="1" applyAlignment="1">
      <alignment horizontal="left" vertical="center" wrapText="1"/>
    </xf>
    <xf numFmtId="0" fontId="32" fillId="35" borderId="10" xfId="0" applyFont="1" applyFill="1" applyBorder="1" applyAlignment="1">
      <alignment horizontal="center" vertical="center" wrapText="1"/>
    </xf>
    <xf numFmtId="0" fontId="24"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34" fillId="27" borderId="25" xfId="0" applyFont="1" applyFill="1" applyBorder="1" applyAlignment="1">
      <alignment horizontal="center" vertical="center" wrapText="1" readingOrder="1"/>
    </xf>
    <xf numFmtId="0" fontId="34" fillId="27" borderId="27" xfId="0" applyFont="1" applyFill="1" applyBorder="1" applyAlignment="1">
      <alignment horizontal="center" vertical="center" wrapText="1" readingOrder="1"/>
    </xf>
    <xf numFmtId="0" fontId="34" fillId="27" borderId="15" xfId="0" applyFont="1" applyFill="1" applyBorder="1" applyAlignment="1">
      <alignment horizontal="center" vertical="center" wrapText="1" readingOrder="1"/>
    </xf>
    <xf numFmtId="0" fontId="34" fillId="28" borderId="10" xfId="0" applyFont="1" applyFill="1" applyBorder="1" applyAlignment="1">
      <alignment horizontal="center" vertical="center" wrapText="1" readingOrder="1"/>
    </xf>
    <xf numFmtId="0" fontId="34" fillId="29" borderId="10" xfId="0" applyFont="1" applyFill="1" applyBorder="1" applyAlignment="1">
      <alignment horizontal="center" vertical="center" wrapText="1" readingOrder="1"/>
    </xf>
    <xf numFmtId="0" fontId="34" fillId="30" borderId="10" xfId="0" applyFont="1" applyFill="1" applyBorder="1" applyAlignment="1">
      <alignment horizontal="center" vertical="center" wrapText="1" readingOrder="1"/>
    </xf>
    <xf numFmtId="0" fontId="32" fillId="35" borderId="27" xfId="0" applyFont="1" applyFill="1" applyBorder="1" applyAlignment="1">
      <alignment horizontal="center"/>
    </xf>
    <xf numFmtId="0" fontId="32" fillId="35" borderId="25" xfId="0" applyFont="1" applyFill="1" applyBorder="1" applyAlignment="1">
      <alignment horizontal="center" vertical="center" wrapText="1" readingOrder="1"/>
    </xf>
    <xf numFmtId="0" fontId="32" fillId="35" borderId="15" xfId="0" applyFont="1" applyFill="1" applyBorder="1" applyAlignment="1">
      <alignment horizontal="center" vertical="center" wrapText="1" readingOrder="1"/>
    </xf>
    <xf numFmtId="0" fontId="32" fillId="35" borderId="10" xfId="0" applyFont="1" applyFill="1" applyBorder="1" applyAlignment="1">
      <alignment horizontal="center" vertical="center" wrapText="1" readingOrder="1"/>
    </xf>
    <xf numFmtId="0" fontId="33" fillId="0" borderId="10" xfId="0" applyFont="1" applyBorder="1" applyAlignment="1">
      <alignment horizontal="center" vertical="center" wrapText="1" readingOrder="1"/>
    </xf>
    <xf numFmtId="0" fontId="34" fillId="0" borderId="10" xfId="0" applyFont="1" applyBorder="1" applyAlignment="1">
      <alignment horizontal="justify" vertical="center" wrapText="1" readingOrder="1"/>
    </xf>
    <xf numFmtId="0" fontId="34" fillId="0" borderId="13" xfId="0" applyFont="1" applyBorder="1" applyAlignment="1">
      <alignment horizontal="justify" vertical="center" wrapText="1" readingOrder="1"/>
    </xf>
    <xf numFmtId="0" fontId="34" fillId="28" borderId="13" xfId="0" applyFont="1" applyFill="1" applyBorder="1" applyAlignment="1">
      <alignment horizontal="center" vertical="center" wrapText="1" readingOrder="1"/>
    </xf>
    <xf numFmtId="0" fontId="34" fillId="28" borderId="35" xfId="0" applyFont="1" applyFill="1" applyBorder="1" applyAlignment="1">
      <alignment horizontal="center" vertical="center" wrapText="1" readingOrder="1"/>
    </xf>
    <xf numFmtId="0" fontId="34" fillId="28" borderId="0" xfId="0" applyFont="1" applyFill="1" applyAlignment="1">
      <alignment horizontal="center" vertical="center" wrapText="1" readingOrder="1"/>
    </xf>
    <xf numFmtId="0" fontId="34" fillId="28" borderId="36" xfId="0" applyFont="1" applyFill="1" applyBorder="1" applyAlignment="1">
      <alignment horizontal="center" vertical="center" wrapText="1" readingOrder="1"/>
    </xf>
    <xf numFmtId="0" fontId="34" fillId="31" borderId="10" xfId="0" applyFont="1" applyFill="1" applyBorder="1" applyAlignment="1">
      <alignment horizontal="center" vertical="center" wrapText="1" readingOrder="1"/>
    </xf>
    <xf numFmtId="0" fontId="34" fillId="31" borderId="25" xfId="0" applyFont="1" applyFill="1" applyBorder="1" applyAlignment="1">
      <alignment horizontal="center" vertical="center" wrapText="1" readingOrder="1"/>
    </xf>
    <xf numFmtId="0" fontId="34" fillId="31" borderId="15" xfId="0" applyFont="1" applyFill="1" applyBorder="1" applyAlignment="1">
      <alignment horizontal="center" vertical="center" wrapText="1" readingOrder="1"/>
    </xf>
    <xf numFmtId="0" fontId="34" fillId="31" borderId="43" xfId="0" applyFont="1" applyFill="1" applyBorder="1" applyAlignment="1">
      <alignment horizontal="center" vertical="center" wrapText="1" readingOrder="1"/>
    </xf>
    <xf numFmtId="0" fontId="34" fillId="31" borderId="14" xfId="0" applyFont="1" applyFill="1" applyBorder="1" applyAlignment="1">
      <alignment horizontal="center" vertical="center" wrapText="1" readingOrder="1"/>
    </xf>
    <xf numFmtId="0" fontId="34" fillId="31" borderId="44" xfId="0" applyFont="1" applyFill="1" applyBorder="1" applyAlignment="1">
      <alignment horizontal="center" vertical="center" wrapText="1" readingOrder="1"/>
    </xf>
    <xf numFmtId="0" fontId="34" fillId="0" borderId="10" xfId="0" applyFont="1" applyBorder="1" applyAlignment="1">
      <alignment horizontal="left" vertical="center" wrapText="1" readingOrder="1"/>
    </xf>
    <xf numFmtId="0" fontId="34" fillId="0" borderId="10" xfId="0" applyFont="1" applyBorder="1" applyAlignment="1">
      <alignment horizontal="center" vertical="center" wrapText="1" readingOrder="1"/>
    </xf>
  </cellXfs>
  <cellStyles count="44">
    <cellStyle name="20% - Ênfase1 2" xfId="1"/>
    <cellStyle name="20% - Ênfase2 2" xfId="2"/>
    <cellStyle name="20% - Ênfase3 2" xfId="3"/>
    <cellStyle name="20% - Ênfase4 2" xfId="4"/>
    <cellStyle name="20% - Ênfase5 2" xfId="5"/>
    <cellStyle name="20% - Ênfase6 2" xfId="6"/>
    <cellStyle name="40% - Ênfase1 2" xfId="7"/>
    <cellStyle name="40% - Ênfase2 2" xfId="8"/>
    <cellStyle name="40% - Ênfase3 2" xfId="9"/>
    <cellStyle name="40% - Ênfase4 2" xfId="10"/>
    <cellStyle name="40% - Ênfase5 2" xfId="11"/>
    <cellStyle name="40% - Ênfase6 2" xfId="12"/>
    <cellStyle name="60% - Ênfase1 2" xfId="13"/>
    <cellStyle name="60% - Ênfase2 2" xfId="14"/>
    <cellStyle name="60% - Ênfase3 2" xfId="15"/>
    <cellStyle name="60% - Ênfase4 2" xfId="16"/>
    <cellStyle name="60% - Ênfase5 2" xfId="17"/>
    <cellStyle name="60% - Ênfase6 2" xfId="18"/>
    <cellStyle name="Bom 2" xfId="19"/>
    <cellStyle name="Cálculo 2" xfId="20"/>
    <cellStyle name="Célula de Verificação 2" xfId="21"/>
    <cellStyle name="Célula Vinculada 2" xfId="22"/>
    <cellStyle name="Ênfase1 2" xfId="23"/>
    <cellStyle name="Ênfase2 2" xfId="24"/>
    <cellStyle name="Ênfase3 2" xfId="25"/>
    <cellStyle name="Ênfase4 2" xfId="26"/>
    <cellStyle name="Ênfase5 2" xfId="27"/>
    <cellStyle name="Ênfase6 2" xfId="28"/>
    <cellStyle name="Entrada 2" xfId="29"/>
    <cellStyle name="Incorreto 2" xfId="30"/>
    <cellStyle name="Neutra 2" xfId="31"/>
    <cellStyle name="Normal" xfId="0" builtinId="0"/>
    <cellStyle name="Normal 2" xfId="32"/>
    <cellStyle name="Normal 3" xfId="33"/>
    <cellStyle name="Nota 2" xfId="34"/>
    <cellStyle name="Saída 2" xfId="35"/>
    <cellStyle name="Texto de Aviso 2" xfId="36"/>
    <cellStyle name="Texto Explicativo 2" xfId="37"/>
    <cellStyle name="Título 1 2" xfId="38"/>
    <cellStyle name="Título 2 2" xfId="39"/>
    <cellStyle name="Título 3 2" xfId="40"/>
    <cellStyle name="Título 4 2" xfId="41"/>
    <cellStyle name="Título 5" xfId="42"/>
    <cellStyle name="Total 2" xfId="43"/>
  </cellStyles>
  <dxfs count="9">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ill>
        <patternFill>
          <bgColor rgb="FFFF0000"/>
        </patternFill>
      </fill>
    </dxf>
    <dxf>
      <fill>
        <patternFill>
          <bgColor rgb="FFFFFF00"/>
        </patternFill>
      </fill>
    </dxf>
    <dxf>
      <fill>
        <patternFill>
          <bgColor rgb="FF00B050"/>
        </patternFill>
      </fill>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95250</xdr:colOff>
      <xdr:row>40</xdr:row>
      <xdr:rowOff>133350</xdr:rowOff>
    </xdr:from>
    <xdr:to>
      <xdr:col>0</xdr:col>
      <xdr:colOff>1493522</xdr:colOff>
      <xdr:row>40</xdr:row>
      <xdr:rowOff>987540</xdr:rowOff>
    </xdr:to>
    <xdr:sp macro="" textlink="">
      <xdr:nvSpPr>
        <xdr:cNvPr id="7" name="Retângulo 6">
          <a:extLst>
            <a:ext uri="{FF2B5EF4-FFF2-40B4-BE49-F238E27FC236}">
              <a16:creationId xmlns:a16="http://schemas.microsoft.com/office/drawing/2014/main" id="{00000000-0008-0000-0000-000007000000}"/>
            </a:ext>
          </a:extLst>
        </xdr:cNvPr>
        <xdr:cNvSpPr/>
      </xdr:nvSpPr>
      <xdr:spPr>
        <a:xfrm>
          <a:off x="95250" y="6496050"/>
          <a:ext cx="1398272" cy="854190"/>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000">
              <a:solidFill>
                <a:sysClr val="windowText" lastClr="000000"/>
              </a:solidFill>
              <a:latin typeface="Bahnschrift" panose="020B0502040204020203" pitchFamily="34" charset="0"/>
            </a:rPr>
            <a:t>Enviar Guia Para Cliente</a:t>
          </a:r>
        </a:p>
      </xdr:txBody>
    </xdr:sp>
    <xdr:clientData/>
  </xdr:twoCellAnchor>
  <xdr:twoCellAnchor>
    <xdr:from>
      <xdr:col>0</xdr:col>
      <xdr:colOff>76200</xdr:colOff>
      <xdr:row>39</xdr:row>
      <xdr:rowOff>95250</xdr:rowOff>
    </xdr:from>
    <xdr:to>
      <xdr:col>0</xdr:col>
      <xdr:colOff>1477016</xdr:colOff>
      <xdr:row>39</xdr:row>
      <xdr:rowOff>1118168</xdr:rowOff>
    </xdr:to>
    <xdr:sp macro="" textlink="">
      <xdr:nvSpPr>
        <xdr:cNvPr id="8" name="Elipse 7">
          <a:extLst>
            <a:ext uri="{FF2B5EF4-FFF2-40B4-BE49-F238E27FC236}">
              <a16:creationId xmlns:a16="http://schemas.microsoft.com/office/drawing/2014/main" id="{00000000-0008-0000-0000-000008000000}"/>
            </a:ext>
          </a:extLst>
        </xdr:cNvPr>
        <xdr:cNvSpPr/>
      </xdr:nvSpPr>
      <xdr:spPr>
        <a:xfrm>
          <a:off x="76200" y="4743450"/>
          <a:ext cx="1400816" cy="1022918"/>
        </a:xfrm>
        <a:prstGeom prst="ellipse">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000">
              <a:solidFill>
                <a:sysClr val="windowText" lastClr="000000"/>
              </a:solidFill>
              <a:latin typeface="Bahnschrift" panose="020B0502040204020203" pitchFamily="34" charset="0"/>
              <a:ea typeface="+mn-ea"/>
              <a:cs typeface="+mn-cs"/>
            </a:rPr>
            <a:t>Alertar Cliente Sobre Serviço Extraordinário</a:t>
          </a:r>
          <a:endParaRPr lang="pt-BR" sz="1000">
            <a:solidFill>
              <a:sysClr val="windowText" lastClr="000000"/>
            </a:solidFill>
            <a:latin typeface="Bahnschrift" panose="020B0502040204020203" pitchFamily="34" charset="0"/>
          </a:endParaRPr>
        </a:p>
      </xdr:txBody>
    </xdr:sp>
    <xdr:clientData/>
  </xdr:twoCellAnchor>
  <xdr:twoCellAnchor>
    <xdr:from>
      <xdr:col>0</xdr:col>
      <xdr:colOff>781050</xdr:colOff>
      <xdr:row>39</xdr:row>
      <xdr:rowOff>1123950</xdr:rowOff>
    </xdr:from>
    <xdr:to>
      <xdr:col>0</xdr:col>
      <xdr:colOff>781054</xdr:colOff>
      <xdr:row>39</xdr:row>
      <xdr:rowOff>1477725</xdr:rowOff>
    </xdr:to>
    <xdr:cxnSp macro="">
      <xdr:nvCxnSpPr>
        <xdr:cNvPr id="11" name="Conector de seta reta 15">
          <a:extLst>
            <a:ext uri="{FF2B5EF4-FFF2-40B4-BE49-F238E27FC236}">
              <a16:creationId xmlns:a16="http://schemas.microsoft.com/office/drawing/2014/main" id="{00000000-0008-0000-0000-00000B000000}"/>
            </a:ext>
          </a:extLst>
        </xdr:cNvPr>
        <xdr:cNvCxnSpPr/>
      </xdr:nvCxnSpPr>
      <xdr:spPr>
        <a:xfrm flipH="1">
          <a:off x="781050" y="5772150"/>
          <a:ext cx="4" cy="353775"/>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800100</xdr:colOff>
      <xdr:row>40</xdr:row>
      <xdr:rowOff>990600</xdr:rowOff>
    </xdr:from>
    <xdr:to>
      <xdr:col>0</xdr:col>
      <xdr:colOff>800104</xdr:colOff>
      <xdr:row>40</xdr:row>
      <xdr:rowOff>1344375</xdr:rowOff>
    </xdr:to>
    <xdr:cxnSp macro="">
      <xdr:nvCxnSpPr>
        <xdr:cNvPr id="12" name="Conector de seta reta 15">
          <a:extLst>
            <a:ext uri="{FF2B5EF4-FFF2-40B4-BE49-F238E27FC236}">
              <a16:creationId xmlns:a16="http://schemas.microsoft.com/office/drawing/2014/main" id="{00000000-0008-0000-0000-00000C000000}"/>
            </a:ext>
          </a:extLst>
        </xdr:cNvPr>
        <xdr:cNvCxnSpPr/>
      </xdr:nvCxnSpPr>
      <xdr:spPr>
        <a:xfrm flipH="1">
          <a:off x="800100" y="7353300"/>
          <a:ext cx="4" cy="353775"/>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57150</xdr:colOff>
      <xdr:row>41</xdr:row>
      <xdr:rowOff>971550</xdr:rowOff>
    </xdr:from>
    <xdr:to>
      <xdr:col>0</xdr:col>
      <xdr:colOff>1457966</xdr:colOff>
      <xdr:row>42</xdr:row>
      <xdr:rowOff>470468</xdr:rowOff>
    </xdr:to>
    <xdr:sp macro="" textlink="">
      <xdr:nvSpPr>
        <xdr:cNvPr id="13" name="Elipse 12">
          <a:extLst>
            <a:ext uri="{FF2B5EF4-FFF2-40B4-BE49-F238E27FC236}">
              <a16:creationId xmlns:a16="http://schemas.microsoft.com/office/drawing/2014/main" id="{00000000-0008-0000-0000-00000D000000}"/>
            </a:ext>
          </a:extLst>
        </xdr:cNvPr>
        <xdr:cNvSpPr/>
      </xdr:nvSpPr>
      <xdr:spPr>
        <a:xfrm>
          <a:off x="57150" y="8858250"/>
          <a:ext cx="1400816" cy="1022918"/>
        </a:xfrm>
        <a:prstGeom prst="ellipse">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000">
              <a:solidFill>
                <a:sysClr val="windowText" lastClr="000000"/>
              </a:solidFill>
              <a:latin typeface="Bahnschrift" panose="020B0502040204020203" pitchFamily="34" charset="0"/>
              <a:ea typeface="+mn-ea"/>
              <a:cs typeface="+mn-cs"/>
            </a:rPr>
            <a:t>Alertar Cliente Sobre Serviço Extraordinário</a:t>
          </a:r>
          <a:endParaRPr lang="pt-BR" sz="1000">
            <a:solidFill>
              <a:sysClr val="windowText" lastClr="000000"/>
            </a:solidFill>
            <a:latin typeface="Bahnschrift" panose="020B0502040204020203" pitchFamily="34" charset="0"/>
          </a:endParaRPr>
        </a:p>
      </xdr:txBody>
    </xdr:sp>
    <xdr:clientData/>
  </xdr:twoCellAnchor>
  <xdr:twoCellAnchor editAs="oneCell">
    <xdr:from>
      <xdr:col>0</xdr:col>
      <xdr:colOff>20052</xdr:colOff>
      <xdr:row>0</xdr:row>
      <xdr:rowOff>180475</xdr:rowOff>
    </xdr:from>
    <xdr:to>
      <xdr:col>0</xdr:col>
      <xdr:colOff>1541734</xdr:colOff>
      <xdr:row>2</xdr:row>
      <xdr:rowOff>163157</xdr:rowOff>
    </xdr:to>
    <xdr:pic>
      <xdr:nvPicPr>
        <xdr:cNvPr id="2" name="Imagem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52" y="180475"/>
          <a:ext cx="1521682" cy="3636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92075</xdr:colOff>
      <xdr:row>30</xdr:row>
      <xdr:rowOff>250032</xdr:rowOff>
    </xdr:from>
    <xdr:to>
      <xdr:col>0</xdr:col>
      <xdr:colOff>1490112</xdr:colOff>
      <xdr:row>33</xdr:row>
      <xdr:rowOff>190500</xdr:rowOff>
    </xdr:to>
    <xdr:sp macro="" textlink="">
      <xdr:nvSpPr>
        <xdr:cNvPr id="2" name="Retângulo 1">
          <a:extLst>
            <a:ext uri="{FF2B5EF4-FFF2-40B4-BE49-F238E27FC236}">
              <a16:creationId xmlns:a16="http://schemas.microsoft.com/office/drawing/2014/main" id="{00000000-0008-0000-0200-000002000000}"/>
            </a:ext>
          </a:extLst>
        </xdr:cNvPr>
        <xdr:cNvSpPr/>
      </xdr:nvSpPr>
      <xdr:spPr>
        <a:xfrm>
          <a:off x="101600" y="9063832"/>
          <a:ext cx="1455491" cy="931068"/>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Verificação</a:t>
          </a:r>
          <a:r>
            <a:rPr lang="pt-BR" sz="1100" baseline="0"/>
            <a:t> das autorizações</a:t>
          </a:r>
          <a:endParaRPr lang="pt-BR" sz="1100"/>
        </a:p>
      </xdr:txBody>
    </xdr:sp>
    <xdr:clientData/>
  </xdr:twoCellAnchor>
  <xdr:twoCellAnchor>
    <xdr:from>
      <xdr:col>0</xdr:col>
      <xdr:colOff>71437</xdr:colOff>
      <xdr:row>36</xdr:row>
      <xdr:rowOff>0</xdr:rowOff>
    </xdr:from>
    <xdr:to>
      <xdr:col>0</xdr:col>
      <xdr:colOff>1469436</xdr:colOff>
      <xdr:row>37</xdr:row>
      <xdr:rowOff>255570</xdr:rowOff>
    </xdr:to>
    <xdr:sp macro="" textlink="">
      <xdr:nvSpPr>
        <xdr:cNvPr id="3" name="Retângulo 2">
          <a:extLst>
            <a:ext uri="{FF2B5EF4-FFF2-40B4-BE49-F238E27FC236}">
              <a16:creationId xmlns:a16="http://schemas.microsoft.com/office/drawing/2014/main" id="{00000000-0008-0000-0200-000003000000}"/>
            </a:ext>
          </a:extLst>
        </xdr:cNvPr>
        <xdr:cNvSpPr/>
      </xdr:nvSpPr>
      <xdr:spPr>
        <a:xfrm>
          <a:off x="71437" y="10795000"/>
          <a:ext cx="1464570" cy="585770"/>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Internação</a:t>
          </a:r>
          <a:r>
            <a:rPr lang="pt-BR" sz="1100" baseline="0"/>
            <a:t> do Paciente</a:t>
          </a:r>
          <a:endParaRPr lang="pt-BR" sz="1100"/>
        </a:p>
      </xdr:txBody>
    </xdr:sp>
    <xdr:clientData/>
  </xdr:twoCellAnchor>
  <xdr:twoCellAnchor>
    <xdr:from>
      <xdr:col>0</xdr:col>
      <xdr:colOff>105683</xdr:colOff>
      <xdr:row>68</xdr:row>
      <xdr:rowOff>114300</xdr:rowOff>
    </xdr:from>
    <xdr:to>
      <xdr:col>0</xdr:col>
      <xdr:colOff>1545953</xdr:colOff>
      <xdr:row>72</xdr:row>
      <xdr:rowOff>0</xdr:rowOff>
    </xdr:to>
    <xdr:sp macro="" textlink="">
      <xdr:nvSpPr>
        <xdr:cNvPr id="4" name="Elipse 3">
          <a:extLst>
            <a:ext uri="{FF2B5EF4-FFF2-40B4-BE49-F238E27FC236}">
              <a16:creationId xmlns:a16="http://schemas.microsoft.com/office/drawing/2014/main" id="{00000000-0008-0000-0200-000004000000}"/>
            </a:ext>
          </a:extLst>
        </xdr:cNvPr>
        <xdr:cNvSpPr/>
      </xdr:nvSpPr>
      <xdr:spPr>
        <a:xfrm>
          <a:off x="105683" y="21736050"/>
          <a:ext cx="1507038" cy="1206500"/>
        </a:xfrm>
        <a:prstGeom prst="ellipse">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lnSpc>
              <a:spcPts val="1000"/>
            </a:lnSpc>
          </a:pPr>
          <a:r>
            <a:rPr lang="pt-BR" sz="1100">
              <a:solidFill>
                <a:schemeClr val="dk1"/>
              </a:solidFill>
              <a:latin typeface="+mn-lt"/>
              <a:ea typeface="+mn-ea"/>
              <a:cs typeface="+mn-cs"/>
            </a:rPr>
            <a:t>Alta do Paciente do Centro Cirurgico</a:t>
          </a:r>
          <a:endParaRPr lang="pt-BR"/>
        </a:p>
      </xdr:txBody>
    </xdr:sp>
    <xdr:clientData/>
  </xdr:twoCellAnchor>
  <xdr:twoCellAnchor>
    <xdr:from>
      <xdr:col>0</xdr:col>
      <xdr:colOff>107156</xdr:colOff>
      <xdr:row>26</xdr:row>
      <xdr:rowOff>157955</xdr:rowOff>
    </xdr:from>
    <xdr:to>
      <xdr:col>0</xdr:col>
      <xdr:colOff>1507972</xdr:colOff>
      <xdr:row>29</xdr:row>
      <xdr:rowOff>65087</xdr:rowOff>
    </xdr:to>
    <xdr:sp macro="" textlink="">
      <xdr:nvSpPr>
        <xdr:cNvPr id="5" name="Elipse 4">
          <a:extLst>
            <a:ext uri="{FF2B5EF4-FFF2-40B4-BE49-F238E27FC236}">
              <a16:creationId xmlns:a16="http://schemas.microsoft.com/office/drawing/2014/main" id="{00000000-0008-0000-0200-000005000000}"/>
            </a:ext>
          </a:extLst>
        </xdr:cNvPr>
        <xdr:cNvSpPr/>
      </xdr:nvSpPr>
      <xdr:spPr>
        <a:xfrm>
          <a:off x="107156" y="7650955"/>
          <a:ext cx="1467522" cy="897732"/>
        </a:xfrm>
        <a:prstGeom prst="ellipse">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pt-BR" sz="1100">
              <a:solidFill>
                <a:schemeClr val="dk1"/>
              </a:solidFill>
              <a:latin typeface="+mn-lt"/>
              <a:ea typeface="+mn-ea"/>
              <a:cs typeface="+mn-cs"/>
            </a:rPr>
            <a:t>Agendamento</a:t>
          </a:r>
          <a:r>
            <a:rPr lang="pt-BR" sz="1100" baseline="0">
              <a:solidFill>
                <a:schemeClr val="dk1"/>
              </a:solidFill>
              <a:latin typeface="+mn-lt"/>
              <a:ea typeface="+mn-ea"/>
              <a:cs typeface="+mn-cs"/>
            </a:rPr>
            <a:t> da Cirugia</a:t>
          </a:r>
          <a:endParaRPr lang="pt-BR"/>
        </a:p>
      </xdr:txBody>
    </xdr:sp>
    <xdr:clientData/>
  </xdr:twoCellAnchor>
  <xdr:twoCellAnchor>
    <xdr:from>
      <xdr:col>0</xdr:col>
      <xdr:colOff>784866</xdr:colOff>
      <xdr:row>29</xdr:row>
      <xdr:rowOff>65087</xdr:rowOff>
    </xdr:from>
    <xdr:to>
      <xdr:col>0</xdr:col>
      <xdr:colOff>799626</xdr:colOff>
      <xdr:row>30</xdr:row>
      <xdr:rowOff>250042</xdr:rowOff>
    </xdr:to>
    <xdr:cxnSp macro="">
      <xdr:nvCxnSpPr>
        <xdr:cNvPr id="6" name="Conector de seta reta 10">
          <a:extLst>
            <a:ext uri="{FF2B5EF4-FFF2-40B4-BE49-F238E27FC236}">
              <a16:creationId xmlns:a16="http://schemas.microsoft.com/office/drawing/2014/main" id="{00000000-0008-0000-0200-000006000000}"/>
            </a:ext>
          </a:extLst>
        </xdr:cNvPr>
        <xdr:cNvCxnSpPr>
          <a:stCxn id="5" idx="4"/>
          <a:endCxn id="2" idx="0"/>
        </xdr:cNvCxnSpPr>
      </xdr:nvCxnSpPr>
      <xdr:spPr>
        <a:xfrm flipH="1">
          <a:off x="822966" y="8548687"/>
          <a:ext cx="14760" cy="515155"/>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760252</xdr:colOff>
      <xdr:row>33</xdr:row>
      <xdr:rowOff>190500</xdr:rowOff>
    </xdr:from>
    <xdr:to>
      <xdr:col>0</xdr:col>
      <xdr:colOff>785023</xdr:colOff>
      <xdr:row>36</xdr:row>
      <xdr:rowOff>0</xdr:rowOff>
    </xdr:to>
    <xdr:cxnSp macro="">
      <xdr:nvCxnSpPr>
        <xdr:cNvPr id="7" name="Conector de seta reta 15">
          <a:extLst>
            <a:ext uri="{FF2B5EF4-FFF2-40B4-BE49-F238E27FC236}">
              <a16:creationId xmlns:a16="http://schemas.microsoft.com/office/drawing/2014/main" id="{00000000-0008-0000-0200-000007000000}"/>
            </a:ext>
          </a:extLst>
        </xdr:cNvPr>
        <xdr:cNvCxnSpPr>
          <a:stCxn id="2" idx="2"/>
        </xdr:cNvCxnSpPr>
      </xdr:nvCxnSpPr>
      <xdr:spPr>
        <a:xfrm flipH="1">
          <a:off x="798352" y="9994900"/>
          <a:ext cx="24771" cy="800100"/>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762000</xdr:colOff>
      <xdr:row>56</xdr:row>
      <xdr:rowOff>441325</xdr:rowOff>
    </xdr:from>
    <xdr:to>
      <xdr:col>0</xdr:col>
      <xdr:colOff>821192</xdr:colOff>
      <xdr:row>68</xdr:row>
      <xdr:rowOff>114536</xdr:rowOff>
    </xdr:to>
    <xdr:cxnSp macro="">
      <xdr:nvCxnSpPr>
        <xdr:cNvPr id="8" name="Conector de seta reta 18">
          <a:extLst>
            <a:ext uri="{FF2B5EF4-FFF2-40B4-BE49-F238E27FC236}">
              <a16:creationId xmlns:a16="http://schemas.microsoft.com/office/drawing/2014/main" id="{00000000-0008-0000-0200-000008000000}"/>
            </a:ext>
          </a:extLst>
        </xdr:cNvPr>
        <xdr:cNvCxnSpPr>
          <a:endCxn id="4" idx="0"/>
        </xdr:cNvCxnSpPr>
      </xdr:nvCxnSpPr>
      <xdr:spPr>
        <a:xfrm>
          <a:off x="800100" y="17716500"/>
          <a:ext cx="59192" cy="4019550"/>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60165</xdr:colOff>
      <xdr:row>39</xdr:row>
      <xdr:rowOff>0</xdr:rowOff>
    </xdr:from>
    <xdr:to>
      <xdr:col>0</xdr:col>
      <xdr:colOff>1458437</xdr:colOff>
      <xdr:row>40</xdr:row>
      <xdr:rowOff>300038</xdr:rowOff>
    </xdr:to>
    <xdr:sp macro="" textlink="">
      <xdr:nvSpPr>
        <xdr:cNvPr id="9" name="Retângulo 8">
          <a:extLst>
            <a:ext uri="{FF2B5EF4-FFF2-40B4-BE49-F238E27FC236}">
              <a16:creationId xmlns:a16="http://schemas.microsoft.com/office/drawing/2014/main" id="{00000000-0008-0000-0200-000009000000}"/>
            </a:ext>
          </a:extLst>
        </xdr:cNvPr>
        <xdr:cNvSpPr/>
      </xdr:nvSpPr>
      <xdr:spPr>
        <a:xfrm>
          <a:off x="60165" y="11785600"/>
          <a:ext cx="1464856" cy="630238"/>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Preparação</a:t>
          </a:r>
          <a:r>
            <a:rPr lang="pt-BR" sz="1100" baseline="0"/>
            <a:t> do paciente</a:t>
          </a:r>
          <a:endParaRPr lang="pt-BR" sz="1100"/>
        </a:p>
      </xdr:txBody>
    </xdr:sp>
    <xdr:clientData/>
  </xdr:twoCellAnchor>
  <xdr:twoCellAnchor>
    <xdr:from>
      <xdr:col>0</xdr:col>
      <xdr:colOff>130808</xdr:colOff>
      <xdr:row>43</xdr:row>
      <xdr:rowOff>204787</xdr:rowOff>
    </xdr:from>
    <xdr:to>
      <xdr:col>0</xdr:col>
      <xdr:colOff>1529080</xdr:colOff>
      <xdr:row>45</xdr:row>
      <xdr:rowOff>302420</xdr:rowOff>
    </xdr:to>
    <xdr:sp macro="" textlink="">
      <xdr:nvSpPr>
        <xdr:cNvPr id="10" name="Retângulo 9">
          <a:extLst>
            <a:ext uri="{FF2B5EF4-FFF2-40B4-BE49-F238E27FC236}">
              <a16:creationId xmlns:a16="http://schemas.microsoft.com/office/drawing/2014/main" id="{00000000-0008-0000-0200-00000A000000}"/>
            </a:ext>
          </a:extLst>
        </xdr:cNvPr>
        <xdr:cNvSpPr/>
      </xdr:nvSpPr>
      <xdr:spPr>
        <a:xfrm>
          <a:off x="140333" y="13311187"/>
          <a:ext cx="1464856" cy="758033"/>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Admissão</a:t>
          </a:r>
          <a:r>
            <a:rPr lang="pt-BR" sz="1100" baseline="0"/>
            <a:t> do paciente no Centro Cirúrgico</a:t>
          </a:r>
          <a:endParaRPr lang="pt-BR" sz="1100"/>
        </a:p>
      </xdr:txBody>
    </xdr:sp>
    <xdr:clientData/>
  </xdr:twoCellAnchor>
  <xdr:twoCellAnchor>
    <xdr:from>
      <xdr:col>0</xdr:col>
      <xdr:colOff>760886</xdr:colOff>
      <xdr:row>37</xdr:row>
      <xdr:rowOff>297656</xdr:rowOff>
    </xdr:from>
    <xdr:to>
      <xdr:col>0</xdr:col>
      <xdr:colOff>780828</xdr:colOff>
      <xdr:row>39</xdr:row>
      <xdr:rowOff>0</xdr:rowOff>
    </xdr:to>
    <xdr:cxnSp macro="">
      <xdr:nvCxnSpPr>
        <xdr:cNvPr id="11" name="Conector de seta reta 15">
          <a:extLst>
            <a:ext uri="{FF2B5EF4-FFF2-40B4-BE49-F238E27FC236}">
              <a16:creationId xmlns:a16="http://schemas.microsoft.com/office/drawing/2014/main" id="{00000000-0008-0000-0200-00000B000000}"/>
            </a:ext>
          </a:extLst>
        </xdr:cNvPr>
        <xdr:cNvCxnSpPr>
          <a:endCxn id="9" idx="0"/>
        </xdr:cNvCxnSpPr>
      </xdr:nvCxnSpPr>
      <xdr:spPr>
        <a:xfrm flipH="1">
          <a:off x="798986" y="11422856"/>
          <a:ext cx="19942" cy="362744"/>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828675</xdr:colOff>
      <xdr:row>41</xdr:row>
      <xdr:rowOff>47625</xdr:rowOff>
    </xdr:from>
    <xdr:to>
      <xdr:col>0</xdr:col>
      <xdr:colOff>834704</xdr:colOff>
      <xdr:row>43</xdr:row>
      <xdr:rowOff>204787</xdr:rowOff>
    </xdr:to>
    <xdr:cxnSp macro="">
      <xdr:nvCxnSpPr>
        <xdr:cNvPr id="12" name="Conector de seta reta 15">
          <a:extLst>
            <a:ext uri="{FF2B5EF4-FFF2-40B4-BE49-F238E27FC236}">
              <a16:creationId xmlns:a16="http://schemas.microsoft.com/office/drawing/2014/main" id="{00000000-0008-0000-0200-00000C000000}"/>
            </a:ext>
          </a:extLst>
        </xdr:cNvPr>
        <xdr:cNvCxnSpPr>
          <a:endCxn id="10" idx="0"/>
        </xdr:cNvCxnSpPr>
      </xdr:nvCxnSpPr>
      <xdr:spPr>
        <a:xfrm>
          <a:off x="866775" y="12493625"/>
          <a:ext cx="6029" cy="817562"/>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834704</xdr:colOff>
      <xdr:row>45</xdr:row>
      <xdr:rowOff>302420</xdr:rowOff>
    </xdr:from>
    <xdr:to>
      <xdr:col>0</xdr:col>
      <xdr:colOff>836453</xdr:colOff>
      <xdr:row>47</xdr:row>
      <xdr:rowOff>188120</xdr:rowOff>
    </xdr:to>
    <xdr:cxnSp macro="">
      <xdr:nvCxnSpPr>
        <xdr:cNvPr id="13" name="Conector de seta reta 15">
          <a:extLst>
            <a:ext uri="{FF2B5EF4-FFF2-40B4-BE49-F238E27FC236}">
              <a16:creationId xmlns:a16="http://schemas.microsoft.com/office/drawing/2014/main" id="{00000000-0008-0000-0200-00000D000000}"/>
            </a:ext>
          </a:extLst>
        </xdr:cNvPr>
        <xdr:cNvCxnSpPr>
          <a:stCxn id="10" idx="2"/>
          <a:endCxn id="15" idx="0"/>
        </xdr:cNvCxnSpPr>
      </xdr:nvCxnSpPr>
      <xdr:spPr>
        <a:xfrm>
          <a:off x="872804" y="14069220"/>
          <a:ext cx="1749" cy="546100"/>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130968</xdr:colOff>
      <xdr:row>50</xdr:row>
      <xdr:rowOff>274637</xdr:rowOff>
    </xdr:from>
    <xdr:to>
      <xdr:col>0</xdr:col>
      <xdr:colOff>1545150</xdr:colOff>
      <xdr:row>53</xdr:row>
      <xdr:rowOff>45185</xdr:rowOff>
    </xdr:to>
    <xdr:sp macro="" textlink="">
      <xdr:nvSpPr>
        <xdr:cNvPr id="14" name="Retângulo 13">
          <a:extLst>
            <a:ext uri="{FF2B5EF4-FFF2-40B4-BE49-F238E27FC236}">
              <a16:creationId xmlns:a16="http://schemas.microsoft.com/office/drawing/2014/main" id="{00000000-0008-0000-0200-00000E000000}"/>
            </a:ext>
          </a:extLst>
        </xdr:cNvPr>
        <xdr:cNvSpPr/>
      </xdr:nvSpPr>
      <xdr:spPr>
        <a:xfrm>
          <a:off x="140493" y="15692437"/>
          <a:ext cx="1471514" cy="761148"/>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Indução</a:t>
          </a:r>
          <a:r>
            <a:rPr lang="pt-BR" sz="1100" baseline="0"/>
            <a:t> anestésica</a:t>
          </a:r>
          <a:endParaRPr lang="pt-BR" sz="1100"/>
        </a:p>
      </xdr:txBody>
    </xdr:sp>
    <xdr:clientData/>
  </xdr:twoCellAnchor>
  <xdr:twoCellAnchor>
    <xdr:from>
      <xdr:col>0</xdr:col>
      <xdr:colOff>132557</xdr:colOff>
      <xdr:row>47</xdr:row>
      <xdr:rowOff>188120</xdr:rowOff>
    </xdr:from>
    <xdr:to>
      <xdr:col>0</xdr:col>
      <xdr:colOff>1530829</xdr:colOff>
      <xdr:row>49</xdr:row>
      <xdr:rowOff>285753</xdr:rowOff>
    </xdr:to>
    <xdr:sp macro="" textlink="">
      <xdr:nvSpPr>
        <xdr:cNvPr id="15" name="Retângulo 14">
          <a:extLst>
            <a:ext uri="{FF2B5EF4-FFF2-40B4-BE49-F238E27FC236}">
              <a16:creationId xmlns:a16="http://schemas.microsoft.com/office/drawing/2014/main" id="{00000000-0008-0000-0200-00000F000000}"/>
            </a:ext>
          </a:extLst>
        </xdr:cNvPr>
        <xdr:cNvSpPr/>
      </xdr:nvSpPr>
      <xdr:spPr>
        <a:xfrm>
          <a:off x="142082" y="14615320"/>
          <a:ext cx="1464856" cy="758033"/>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Realização</a:t>
          </a:r>
          <a:r>
            <a:rPr lang="pt-BR" sz="1100" baseline="0"/>
            <a:t> da Cirurgia</a:t>
          </a:r>
          <a:endParaRPr lang="pt-BR" sz="1100"/>
        </a:p>
      </xdr:txBody>
    </xdr:sp>
    <xdr:clientData/>
  </xdr:twoCellAnchor>
  <xdr:twoCellAnchor>
    <xdr:from>
      <xdr:col>0</xdr:col>
      <xdr:colOff>182562</xdr:colOff>
      <xdr:row>54</xdr:row>
      <xdr:rowOff>195262</xdr:rowOff>
    </xdr:from>
    <xdr:to>
      <xdr:col>0</xdr:col>
      <xdr:colOff>1580532</xdr:colOff>
      <xdr:row>56</xdr:row>
      <xdr:rowOff>419877</xdr:rowOff>
    </xdr:to>
    <xdr:sp macro="" textlink="">
      <xdr:nvSpPr>
        <xdr:cNvPr id="16" name="Retângulo 15">
          <a:extLst>
            <a:ext uri="{FF2B5EF4-FFF2-40B4-BE49-F238E27FC236}">
              <a16:creationId xmlns:a16="http://schemas.microsoft.com/office/drawing/2014/main" id="{00000000-0008-0000-0200-000010000000}"/>
            </a:ext>
          </a:extLst>
        </xdr:cNvPr>
        <xdr:cNvSpPr/>
      </xdr:nvSpPr>
      <xdr:spPr>
        <a:xfrm>
          <a:off x="192087" y="16933862"/>
          <a:ext cx="1464570" cy="751768"/>
        </a:xfrm>
        <a:prstGeom prst="rect">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pt-BR" sz="1100"/>
            <a:t>Recuperação</a:t>
          </a:r>
          <a:r>
            <a:rPr lang="pt-BR" sz="1100" baseline="0"/>
            <a:t> Pós anestésica</a:t>
          </a:r>
          <a:endParaRPr lang="pt-BR" sz="1100"/>
        </a:p>
      </xdr:txBody>
    </xdr:sp>
    <xdr:clientData/>
  </xdr:twoCellAnchor>
  <xdr:twoCellAnchor>
    <xdr:from>
      <xdr:col>0</xdr:col>
      <xdr:colOff>815654</xdr:colOff>
      <xdr:row>49</xdr:row>
      <xdr:rowOff>302420</xdr:rowOff>
    </xdr:from>
    <xdr:to>
      <xdr:col>0</xdr:col>
      <xdr:colOff>817403</xdr:colOff>
      <xdr:row>50</xdr:row>
      <xdr:rowOff>188120</xdr:rowOff>
    </xdr:to>
    <xdr:cxnSp macro="">
      <xdr:nvCxnSpPr>
        <xdr:cNvPr id="17" name="Conector de seta reta 15">
          <a:extLst>
            <a:ext uri="{FF2B5EF4-FFF2-40B4-BE49-F238E27FC236}">
              <a16:creationId xmlns:a16="http://schemas.microsoft.com/office/drawing/2014/main" id="{00000000-0008-0000-0200-000011000000}"/>
            </a:ext>
          </a:extLst>
        </xdr:cNvPr>
        <xdr:cNvCxnSpPr/>
      </xdr:nvCxnSpPr>
      <xdr:spPr>
        <a:xfrm>
          <a:off x="853754" y="15390020"/>
          <a:ext cx="1749" cy="215900"/>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781050</xdr:colOff>
      <xdr:row>53</xdr:row>
      <xdr:rowOff>62383</xdr:rowOff>
    </xdr:from>
    <xdr:to>
      <xdr:col>0</xdr:col>
      <xdr:colOff>796605</xdr:colOff>
      <xdr:row>54</xdr:row>
      <xdr:rowOff>142843</xdr:rowOff>
    </xdr:to>
    <xdr:cxnSp macro="">
      <xdr:nvCxnSpPr>
        <xdr:cNvPr id="18" name="Conector de seta reta 15">
          <a:extLst>
            <a:ext uri="{FF2B5EF4-FFF2-40B4-BE49-F238E27FC236}">
              <a16:creationId xmlns:a16="http://schemas.microsoft.com/office/drawing/2014/main" id="{00000000-0008-0000-0200-000012000000}"/>
            </a:ext>
          </a:extLst>
        </xdr:cNvPr>
        <xdr:cNvCxnSpPr/>
      </xdr:nvCxnSpPr>
      <xdr:spPr>
        <a:xfrm flipH="1">
          <a:off x="819150" y="16470783"/>
          <a:ext cx="15555" cy="410660"/>
        </a:xfrm>
        <a:prstGeom prst="straightConnector1">
          <a:avLst/>
        </a:prstGeom>
        <a:ln>
          <a:solidFill>
            <a:srgbClr val="002060"/>
          </a:solidFill>
          <a:tailEnd type="arrow"/>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86"/>
  <sheetViews>
    <sheetView showGridLines="0" tabSelected="1" zoomScale="85" zoomScaleNormal="85" zoomScaleSheetLayoutView="55" workbookViewId="0">
      <pane ySplit="6" topLeftCell="A7" activePane="bottomLeft" state="frozen"/>
      <selection pane="bottomLeft" sqref="A1:A4"/>
    </sheetView>
  </sheetViews>
  <sheetFormatPr defaultColWidth="8.7109375" defaultRowHeight="15" x14ac:dyDescent="0.2"/>
  <cols>
    <col min="1" max="1" width="23.42578125" style="58" customWidth="1"/>
    <col min="2" max="2" width="20.5703125" style="58" customWidth="1"/>
    <col min="3" max="3" width="32.85546875" style="58" customWidth="1"/>
    <col min="4" max="4" width="29" style="58" customWidth="1"/>
    <col min="5" max="5" width="30.85546875" style="58" customWidth="1"/>
    <col min="6" max="7" width="5.7109375" style="58" customWidth="1"/>
    <col min="8" max="8" width="6.85546875" style="58" customWidth="1"/>
    <col min="9" max="9" width="22.42578125" style="58" customWidth="1"/>
    <col min="10" max="10" width="25.85546875" style="58" customWidth="1"/>
    <col min="11" max="11" width="8.7109375" style="58"/>
    <col min="12" max="12" width="24.28515625" style="67" customWidth="1"/>
    <col min="13" max="16384" width="8.7109375" style="58"/>
  </cols>
  <sheetData>
    <row r="1" spans="1:12" ht="15" customHeight="1" x14ac:dyDescent="0.2">
      <c r="A1" s="150"/>
      <c r="B1" s="154" t="s">
        <v>277</v>
      </c>
      <c r="C1" s="155"/>
      <c r="D1" s="155"/>
      <c r="E1" s="155"/>
      <c r="F1" s="155"/>
      <c r="G1" s="155"/>
      <c r="H1" s="156"/>
      <c r="I1" s="41" t="s">
        <v>239</v>
      </c>
      <c r="J1" s="50" t="s">
        <v>278</v>
      </c>
      <c r="L1" s="59"/>
    </row>
    <row r="2" spans="1:12" ht="15" customHeight="1" x14ac:dyDescent="0.2">
      <c r="A2" s="151"/>
      <c r="B2" s="157"/>
      <c r="C2" s="158"/>
      <c r="D2" s="158"/>
      <c r="E2" s="158"/>
      <c r="F2" s="158"/>
      <c r="G2" s="158"/>
      <c r="H2" s="159"/>
      <c r="I2" s="41" t="s">
        <v>240</v>
      </c>
      <c r="J2" s="49">
        <v>44835</v>
      </c>
      <c r="L2" s="59"/>
    </row>
    <row r="3" spans="1:12" x14ac:dyDescent="0.2">
      <c r="A3" s="151"/>
      <c r="B3" s="152" t="s">
        <v>279</v>
      </c>
      <c r="C3" s="145" t="s">
        <v>283</v>
      </c>
      <c r="D3" s="161" t="s">
        <v>226</v>
      </c>
      <c r="E3" s="139" t="s">
        <v>299</v>
      </c>
      <c r="F3" s="140"/>
      <c r="G3" s="140"/>
      <c r="H3" s="141"/>
      <c r="I3" s="42" t="s">
        <v>241</v>
      </c>
      <c r="J3" s="56" t="s">
        <v>332</v>
      </c>
      <c r="L3" s="59"/>
    </row>
    <row r="4" spans="1:12" ht="15.75" thickBot="1" x14ac:dyDescent="0.25">
      <c r="A4" s="151"/>
      <c r="B4" s="153"/>
      <c r="C4" s="146"/>
      <c r="D4" s="162"/>
      <c r="E4" s="142"/>
      <c r="F4" s="143"/>
      <c r="G4" s="143"/>
      <c r="H4" s="144"/>
      <c r="I4" s="43" t="s">
        <v>242</v>
      </c>
      <c r="J4" s="57">
        <v>45738</v>
      </c>
      <c r="L4" s="59"/>
    </row>
    <row r="5" spans="1:12" ht="26.25" customHeight="1" thickBot="1" x14ac:dyDescent="0.25">
      <c r="A5" s="68" t="s">
        <v>227</v>
      </c>
      <c r="B5" s="69">
        <f ca="1">TODAY()</f>
        <v>46212</v>
      </c>
      <c r="C5" s="70" t="s">
        <v>238</v>
      </c>
      <c r="D5" s="147" t="s">
        <v>318</v>
      </c>
      <c r="E5" s="148"/>
      <c r="F5" s="148"/>
      <c r="G5" s="148"/>
      <c r="H5" s="148"/>
      <c r="I5" s="148"/>
      <c r="J5" s="149"/>
      <c r="L5" s="59"/>
    </row>
    <row r="6" spans="1:12" ht="18" hidden="1" x14ac:dyDescent="0.2">
      <c r="A6" s="76" t="s">
        <v>315</v>
      </c>
      <c r="B6" s="77"/>
      <c r="C6" s="77"/>
      <c r="D6" s="77"/>
      <c r="E6" s="77"/>
      <c r="F6" s="77"/>
      <c r="G6" s="77"/>
      <c r="H6" s="77"/>
      <c r="I6" s="77"/>
      <c r="J6" s="78"/>
      <c r="L6" s="59"/>
    </row>
    <row r="7" spans="1:12" x14ac:dyDescent="0.2">
      <c r="A7" s="94" t="s">
        <v>47</v>
      </c>
      <c r="B7" s="95"/>
      <c r="C7" s="95"/>
      <c r="D7" s="95"/>
      <c r="E7" s="95"/>
      <c r="F7" s="95"/>
      <c r="G7" s="95"/>
      <c r="H7" s="95"/>
      <c r="I7" s="95"/>
      <c r="J7" s="96"/>
      <c r="L7" s="59"/>
    </row>
    <row r="8" spans="1:12" s="60" customFormat="1" ht="15" customHeight="1" x14ac:dyDescent="0.25">
      <c r="A8" s="82" t="s">
        <v>243</v>
      </c>
      <c r="B8" s="83"/>
      <c r="C8" s="83" t="s">
        <v>244</v>
      </c>
      <c r="D8" s="83"/>
      <c r="E8" s="83" t="s">
        <v>245</v>
      </c>
      <c r="F8" s="83"/>
      <c r="G8" s="83"/>
      <c r="H8" s="83" t="s">
        <v>246</v>
      </c>
      <c r="I8" s="83"/>
      <c r="J8" s="108"/>
      <c r="L8" s="59"/>
    </row>
    <row r="9" spans="1:12" s="60" customFormat="1" x14ac:dyDescent="0.25">
      <c r="A9" s="112"/>
      <c r="B9" s="113"/>
      <c r="C9" s="113"/>
      <c r="D9" s="113"/>
      <c r="E9" s="113"/>
      <c r="F9" s="113"/>
      <c r="G9" s="113"/>
      <c r="H9" s="113"/>
      <c r="I9" s="113"/>
      <c r="J9" s="114"/>
      <c r="L9" s="59"/>
    </row>
    <row r="10" spans="1:12" s="60" customFormat="1" ht="15" customHeight="1" x14ac:dyDescent="0.25">
      <c r="A10" s="86" t="s">
        <v>281</v>
      </c>
      <c r="B10" s="87"/>
      <c r="C10" s="127" t="s">
        <v>319</v>
      </c>
      <c r="D10" s="128"/>
      <c r="E10" s="92" t="s">
        <v>281</v>
      </c>
      <c r="F10" s="93"/>
      <c r="G10" s="87"/>
      <c r="H10" s="121" t="s">
        <v>320</v>
      </c>
      <c r="I10" s="122"/>
      <c r="J10" s="123"/>
      <c r="L10" s="59"/>
    </row>
    <row r="11" spans="1:12" s="60" customFormat="1" x14ac:dyDescent="0.25">
      <c r="A11" s="86" t="s">
        <v>274</v>
      </c>
      <c r="B11" s="87"/>
      <c r="C11" s="129"/>
      <c r="D11" s="130"/>
      <c r="E11" s="92" t="s">
        <v>274</v>
      </c>
      <c r="F11" s="93"/>
      <c r="G11" s="87"/>
      <c r="H11" s="124"/>
      <c r="I11" s="125"/>
      <c r="J11" s="126"/>
      <c r="L11" s="59"/>
    </row>
    <row r="12" spans="1:12" s="60" customFormat="1" ht="15" customHeight="1" x14ac:dyDescent="0.25">
      <c r="A12" s="86" t="s">
        <v>281</v>
      </c>
      <c r="B12" s="87"/>
      <c r="C12" s="127" t="s">
        <v>321</v>
      </c>
      <c r="D12" s="128"/>
      <c r="E12" s="92" t="s">
        <v>281</v>
      </c>
      <c r="F12" s="93"/>
      <c r="G12" s="87"/>
      <c r="H12" s="121" t="s">
        <v>322</v>
      </c>
      <c r="I12" s="122"/>
      <c r="J12" s="123"/>
      <c r="L12" s="59"/>
    </row>
    <row r="13" spans="1:12" s="60" customFormat="1" x14ac:dyDescent="0.25">
      <c r="A13" s="86" t="s">
        <v>274</v>
      </c>
      <c r="B13" s="87"/>
      <c r="C13" s="129"/>
      <c r="D13" s="130"/>
      <c r="E13" s="92" t="s">
        <v>274</v>
      </c>
      <c r="F13" s="93"/>
      <c r="G13" s="87"/>
      <c r="H13" s="124"/>
      <c r="I13" s="125"/>
      <c r="J13" s="126"/>
      <c r="L13" s="59"/>
    </row>
    <row r="14" spans="1:12" s="60" customFormat="1" ht="15" customHeight="1" x14ac:dyDescent="0.25">
      <c r="A14" s="86" t="s">
        <v>283</v>
      </c>
      <c r="B14" s="87"/>
      <c r="C14" s="100" t="s">
        <v>330</v>
      </c>
      <c r="D14" s="101"/>
      <c r="E14" s="92" t="s">
        <v>282</v>
      </c>
      <c r="F14" s="93"/>
      <c r="G14" s="87"/>
      <c r="H14" s="84" t="s">
        <v>325</v>
      </c>
      <c r="I14" s="84"/>
      <c r="J14" s="85"/>
      <c r="L14" s="59"/>
    </row>
    <row r="15" spans="1:12" s="60" customFormat="1" x14ac:dyDescent="0.25">
      <c r="A15" s="160"/>
      <c r="B15" s="111"/>
      <c r="C15" s="73"/>
      <c r="D15" s="74"/>
      <c r="E15" s="109"/>
      <c r="F15" s="110"/>
      <c r="G15" s="111"/>
      <c r="H15" s="88"/>
      <c r="I15" s="88"/>
      <c r="J15" s="89"/>
      <c r="L15" s="59"/>
    </row>
    <row r="16" spans="1:12" s="60" customFormat="1" hidden="1" x14ac:dyDescent="0.25">
      <c r="A16" s="86"/>
      <c r="B16" s="87"/>
      <c r="C16" s="100"/>
      <c r="D16" s="101"/>
      <c r="E16" s="92"/>
      <c r="F16" s="93"/>
      <c r="G16" s="87"/>
      <c r="H16" s="84"/>
      <c r="I16" s="84"/>
      <c r="J16" s="85"/>
      <c r="L16" s="59"/>
    </row>
    <row r="17" spans="1:12" s="60" customFormat="1" hidden="1" x14ac:dyDescent="0.25">
      <c r="A17" s="86"/>
      <c r="B17" s="87"/>
      <c r="C17" s="100"/>
      <c r="D17" s="101"/>
      <c r="E17" s="92"/>
      <c r="F17" s="93"/>
      <c r="G17" s="87"/>
      <c r="H17" s="84"/>
      <c r="I17" s="84"/>
      <c r="J17" s="85"/>
      <c r="L17" s="59"/>
    </row>
    <row r="18" spans="1:12" s="60" customFormat="1" hidden="1" x14ac:dyDescent="0.25">
      <c r="A18" s="86"/>
      <c r="B18" s="87"/>
      <c r="C18" s="100"/>
      <c r="D18" s="101"/>
      <c r="E18" s="92"/>
      <c r="F18" s="93"/>
      <c r="G18" s="87"/>
      <c r="H18" s="84"/>
      <c r="I18" s="84"/>
      <c r="J18" s="85"/>
      <c r="L18" s="59"/>
    </row>
    <row r="19" spans="1:12" s="60" customFormat="1" hidden="1" x14ac:dyDescent="0.25">
      <c r="A19" s="86"/>
      <c r="B19" s="87"/>
      <c r="C19" s="100"/>
      <c r="D19" s="101"/>
      <c r="E19" s="92"/>
      <c r="F19" s="93"/>
      <c r="G19" s="87"/>
      <c r="H19" s="84"/>
      <c r="I19" s="84"/>
      <c r="J19" s="85"/>
      <c r="L19" s="59"/>
    </row>
    <row r="20" spans="1:12" s="60" customFormat="1" hidden="1" x14ac:dyDescent="0.25">
      <c r="A20" s="86"/>
      <c r="B20" s="87"/>
      <c r="C20" s="100"/>
      <c r="D20" s="101"/>
      <c r="E20" s="92"/>
      <c r="F20" s="93"/>
      <c r="G20" s="87"/>
      <c r="H20" s="84"/>
      <c r="I20" s="84"/>
      <c r="J20" s="85"/>
      <c r="L20" s="59"/>
    </row>
    <row r="21" spans="1:12" s="60" customFormat="1" hidden="1" x14ac:dyDescent="0.25">
      <c r="A21" s="86"/>
      <c r="B21" s="87"/>
      <c r="C21" s="100"/>
      <c r="D21" s="101"/>
      <c r="E21" s="92"/>
      <c r="F21" s="93"/>
      <c r="G21" s="87"/>
      <c r="H21" s="84"/>
      <c r="I21" s="84"/>
      <c r="J21" s="85"/>
      <c r="L21" s="59"/>
    </row>
    <row r="22" spans="1:12" s="60" customFormat="1" hidden="1" x14ac:dyDescent="0.25">
      <c r="A22" s="86"/>
      <c r="B22" s="87"/>
      <c r="C22" s="100"/>
      <c r="D22" s="101"/>
      <c r="E22" s="92"/>
      <c r="F22" s="93"/>
      <c r="G22" s="87"/>
      <c r="H22" s="84"/>
      <c r="I22" s="84"/>
      <c r="J22" s="85"/>
      <c r="L22" s="59"/>
    </row>
    <row r="23" spans="1:12" s="60" customFormat="1" hidden="1" x14ac:dyDescent="0.25">
      <c r="A23" s="86"/>
      <c r="B23" s="87"/>
      <c r="C23" s="100"/>
      <c r="D23" s="101"/>
      <c r="E23" s="92"/>
      <c r="F23" s="93"/>
      <c r="G23" s="87"/>
      <c r="H23" s="84"/>
      <c r="I23" s="84"/>
      <c r="J23" s="85"/>
      <c r="L23" s="59"/>
    </row>
    <row r="24" spans="1:12" s="60" customFormat="1" hidden="1" x14ac:dyDescent="0.25">
      <c r="A24" s="86"/>
      <c r="B24" s="87"/>
      <c r="C24" s="100"/>
      <c r="D24" s="101"/>
      <c r="E24" s="92"/>
      <c r="F24" s="93"/>
      <c r="G24" s="87"/>
      <c r="H24" s="84"/>
      <c r="I24" s="84"/>
      <c r="J24" s="85"/>
      <c r="L24" s="59"/>
    </row>
    <row r="25" spans="1:12" s="60" customFormat="1" hidden="1" x14ac:dyDescent="0.25">
      <c r="A25" s="86"/>
      <c r="B25" s="87"/>
      <c r="C25" s="100"/>
      <c r="D25" s="101"/>
      <c r="E25" s="92"/>
      <c r="F25" s="93"/>
      <c r="G25" s="87"/>
      <c r="H25" s="84"/>
      <c r="I25" s="84"/>
      <c r="J25" s="85"/>
      <c r="L25" s="59"/>
    </row>
    <row r="26" spans="1:12" s="60" customFormat="1" hidden="1" x14ac:dyDescent="0.25">
      <c r="A26" s="86"/>
      <c r="B26" s="87"/>
      <c r="C26" s="100"/>
      <c r="D26" s="101"/>
      <c r="E26" s="92"/>
      <c r="F26" s="93"/>
      <c r="G26" s="87"/>
      <c r="H26" s="84"/>
      <c r="I26" s="84"/>
      <c r="J26" s="85"/>
      <c r="L26" s="59"/>
    </row>
    <row r="27" spans="1:12" s="60" customFormat="1" hidden="1" x14ac:dyDescent="0.25">
      <c r="A27" s="86"/>
      <c r="B27" s="87"/>
      <c r="C27" s="100"/>
      <c r="D27" s="101"/>
      <c r="E27" s="92"/>
      <c r="F27" s="93"/>
      <c r="G27" s="87"/>
      <c r="H27" s="84"/>
      <c r="I27" s="84"/>
      <c r="J27" s="85"/>
      <c r="L27" s="59"/>
    </row>
    <row r="28" spans="1:12" s="60" customFormat="1" hidden="1" x14ac:dyDescent="0.25">
      <c r="A28" s="86"/>
      <c r="B28" s="87"/>
      <c r="C28" s="100"/>
      <c r="D28" s="101"/>
      <c r="E28" s="92"/>
      <c r="F28" s="93"/>
      <c r="G28" s="87"/>
      <c r="H28" s="84"/>
      <c r="I28" s="84"/>
      <c r="J28" s="85"/>
      <c r="L28" s="59"/>
    </row>
    <row r="29" spans="1:12" s="60" customFormat="1" hidden="1" x14ac:dyDescent="0.25">
      <c r="A29" s="86"/>
      <c r="B29" s="87"/>
      <c r="C29" s="100"/>
      <c r="D29" s="101"/>
      <c r="E29" s="92"/>
      <c r="F29" s="93"/>
      <c r="G29" s="87"/>
      <c r="H29" s="84"/>
      <c r="I29" s="84"/>
      <c r="J29" s="85"/>
      <c r="L29" s="59"/>
    </row>
    <row r="30" spans="1:12" s="60" customFormat="1" hidden="1" x14ac:dyDescent="0.25">
      <c r="A30" s="86"/>
      <c r="B30" s="87"/>
      <c r="C30" s="100"/>
      <c r="D30" s="101"/>
      <c r="E30" s="92"/>
      <c r="F30" s="93"/>
      <c r="G30" s="87"/>
      <c r="H30" s="84"/>
      <c r="I30" s="84"/>
      <c r="J30" s="85"/>
      <c r="L30" s="59"/>
    </row>
    <row r="31" spans="1:12" s="60" customFormat="1" hidden="1" x14ac:dyDescent="0.25">
      <c r="A31" s="86"/>
      <c r="B31" s="87"/>
      <c r="C31" s="100"/>
      <c r="D31" s="101"/>
      <c r="E31" s="92"/>
      <c r="F31" s="93"/>
      <c r="G31" s="87"/>
      <c r="H31" s="84"/>
      <c r="I31" s="84"/>
      <c r="J31" s="85"/>
      <c r="L31" s="59"/>
    </row>
    <row r="32" spans="1:12" s="60" customFormat="1" hidden="1" x14ac:dyDescent="0.25">
      <c r="A32" s="86"/>
      <c r="B32" s="87"/>
      <c r="C32" s="100"/>
      <c r="D32" s="101"/>
      <c r="E32" s="92"/>
      <c r="F32" s="93"/>
      <c r="G32" s="87"/>
      <c r="H32" s="84"/>
      <c r="I32" s="84"/>
      <c r="J32" s="85"/>
      <c r="L32" s="59"/>
    </row>
    <row r="33" spans="1:12" s="60" customFormat="1" hidden="1" x14ac:dyDescent="0.25">
      <c r="A33" s="86"/>
      <c r="B33" s="87"/>
      <c r="C33" s="100"/>
      <c r="D33" s="101"/>
      <c r="E33" s="92"/>
      <c r="F33" s="93"/>
      <c r="G33" s="87"/>
      <c r="H33" s="84"/>
      <c r="I33" s="84"/>
      <c r="J33" s="85"/>
      <c r="L33" s="59"/>
    </row>
    <row r="34" spans="1:12" s="60" customFormat="1" hidden="1" x14ac:dyDescent="0.25">
      <c r="A34" s="86"/>
      <c r="B34" s="87"/>
      <c r="C34" s="100"/>
      <c r="D34" s="101"/>
      <c r="E34" s="92"/>
      <c r="F34" s="93"/>
      <c r="G34" s="87"/>
      <c r="H34" s="84"/>
      <c r="I34" s="84"/>
      <c r="J34" s="85"/>
      <c r="L34" s="59"/>
    </row>
    <row r="35" spans="1:12" s="60" customFormat="1" hidden="1" x14ac:dyDescent="0.25">
      <c r="A35" s="86"/>
      <c r="B35" s="87"/>
      <c r="C35" s="100"/>
      <c r="D35" s="101"/>
      <c r="E35" s="92"/>
      <c r="F35" s="93"/>
      <c r="G35" s="87"/>
      <c r="H35" s="84"/>
      <c r="I35" s="84"/>
      <c r="J35" s="85"/>
      <c r="L35" s="59"/>
    </row>
    <row r="36" spans="1:12" s="60" customFormat="1" hidden="1" x14ac:dyDescent="0.25">
      <c r="A36" s="86"/>
      <c r="B36" s="87"/>
      <c r="C36" s="100"/>
      <c r="D36" s="101"/>
      <c r="E36" s="92"/>
      <c r="F36" s="93"/>
      <c r="G36" s="87"/>
      <c r="H36" s="84"/>
      <c r="I36" s="84"/>
      <c r="J36" s="85"/>
      <c r="L36" s="59"/>
    </row>
    <row r="37" spans="1:12" s="60" customFormat="1" ht="15.75" hidden="1" thickBot="1" x14ac:dyDescent="0.3">
      <c r="A37" s="136"/>
      <c r="B37" s="106"/>
      <c r="C37" s="137"/>
      <c r="D37" s="138"/>
      <c r="E37" s="104"/>
      <c r="F37" s="105"/>
      <c r="G37" s="106"/>
      <c r="H37" s="84"/>
      <c r="I37" s="84"/>
      <c r="J37" s="85"/>
      <c r="L37" s="59"/>
    </row>
    <row r="38" spans="1:12" x14ac:dyDescent="0.2">
      <c r="A38" s="132" t="s">
        <v>228</v>
      </c>
      <c r="B38" s="132"/>
      <c r="C38" s="132"/>
      <c r="D38" s="132"/>
      <c r="E38" s="132"/>
      <c r="F38" s="132"/>
      <c r="G38" s="132"/>
      <c r="H38" s="132"/>
      <c r="I38" s="132"/>
      <c r="J38" s="132"/>
      <c r="L38" s="59"/>
    </row>
    <row r="39" spans="1:12" ht="120" x14ac:dyDescent="0.2">
      <c r="A39" s="44" t="s">
        <v>0</v>
      </c>
      <c r="B39" s="44" t="s">
        <v>247</v>
      </c>
      <c r="C39" s="44" t="s">
        <v>248</v>
      </c>
      <c r="D39" s="44" t="s">
        <v>249</v>
      </c>
      <c r="E39" s="44" t="s">
        <v>250</v>
      </c>
      <c r="F39" s="44" t="s">
        <v>1</v>
      </c>
      <c r="G39" s="44" t="s">
        <v>2</v>
      </c>
      <c r="H39" s="44" t="s">
        <v>23</v>
      </c>
      <c r="I39" s="44" t="s">
        <v>251</v>
      </c>
      <c r="J39" s="44" t="s">
        <v>252</v>
      </c>
      <c r="L39" s="59"/>
    </row>
    <row r="40" spans="1:12" ht="119.25" customHeight="1" x14ac:dyDescent="0.2">
      <c r="A40" s="71"/>
      <c r="B40" s="54" t="s">
        <v>281</v>
      </c>
      <c r="C40" s="54" t="s">
        <v>323</v>
      </c>
      <c r="D40" s="52" t="s">
        <v>269</v>
      </c>
      <c r="E40" s="133" t="s">
        <v>333</v>
      </c>
      <c r="F40" s="54">
        <v>1</v>
      </c>
      <c r="G40" s="54">
        <v>3</v>
      </c>
      <c r="H40" s="54">
        <f t="shared" ref="H40:H65" si="0">F40*G40</f>
        <v>3</v>
      </c>
      <c r="I40" s="54" t="s">
        <v>327</v>
      </c>
      <c r="J40" s="133" t="s">
        <v>334</v>
      </c>
      <c r="L40" s="59"/>
    </row>
    <row r="41" spans="1:12" ht="119.25" customHeight="1" x14ac:dyDescent="0.2">
      <c r="A41" s="71"/>
      <c r="B41" s="54" t="s">
        <v>283</v>
      </c>
      <c r="C41" s="54" t="s">
        <v>324</v>
      </c>
      <c r="D41" s="52" t="s">
        <v>270</v>
      </c>
      <c r="E41" s="134"/>
      <c r="F41" s="54">
        <v>1</v>
      </c>
      <c r="G41" s="54">
        <v>5</v>
      </c>
      <c r="H41" s="54">
        <f t="shared" si="0"/>
        <v>5</v>
      </c>
      <c r="I41" s="54" t="s">
        <v>328</v>
      </c>
      <c r="J41" s="134"/>
      <c r="L41" s="59"/>
    </row>
    <row r="42" spans="1:12" ht="119.25" customHeight="1" x14ac:dyDescent="0.2">
      <c r="A42" s="163"/>
      <c r="B42" s="54" t="s">
        <v>283</v>
      </c>
      <c r="C42" s="54" t="s">
        <v>326</v>
      </c>
      <c r="D42" s="52" t="s">
        <v>270</v>
      </c>
      <c r="E42" s="134"/>
      <c r="F42" s="54">
        <v>2</v>
      </c>
      <c r="G42" s="54">
        <v>5</v>
      </c>
      <c r="H42" s="54">
        <f t="shared" si="0"/>
        <v>10</v>
      </c>
      <c r="I42" s="133" t="s">
        <v>329</v>
      </c>
      <c r="J42" s="134"/>
      <c r="L42" s="59"/>
    </row>
    <row r="43" spans="1:12" ht="119.25" customHeight="1" x14ac:dyDescent="0.2">
      <c r="A43" s="164"/>
      <c r="B43" s="54" t="s">
        <v>283</v>
      </c>
      <c r="C43" s="54" t="s">
        <v>335</v>
      </c>
      <c r="D43" s="52" t="s">
        <v>270</v>
      </c>
      <c r="E43" s="135"/>
      <c r="F43" s="54">
        <v>2</v>
      </c>
      <c r="G43" s="54">
        <v>5</v>
      </c>
      <c r="H43" s="54">
        <f t="shared" si="0"/>
        <v>10</v>
      </c>
      <c r="I43" s="135"/>
      <c r="J43" s="134"/>
      <c r="L43" s="59"/>
    </row>
    <row r="44" spans="1:12" hidden="1" x14ac:dyDescent="0.2">
      <c r="A44" s="71"/>
      <c r="B44" s="54"/>
      <c r="C44" s="54"/>
      <c r="D44" s="52"/>
      <c r="E44" s="54"/>
      <c r="F44" s="54"/>
      <c r="G44" s="54"/>
      <c r="H44" s="54">
        <f t="shared" si="0"/>
        <v>0</v>
      </c>
      <c r="I44" s="61"/>
      <c r="J44" s="134"/>
      <c r="L44" s="59"/>
    </row>
    <row r="45" spans="1:12" hidden="1" x14ac:dyDescent="0.2">
      <c r="A45" s="71"/>
      <c r="B45" s="54"/>
      <c r="C45" s="54"/>
      <c r="D45" s="52"/>
      <c r="E45" s="54"/>
      <c r="F45" s="54"/>
      <c r="G45" s="54"/>
      <c r="H45" s="54">
        <f t="shared" si="0"/>
        <v>0</v>
      </c>
      <c r="I45" s="61"/>
      <c r="J45" s="134"/>
      <c r="L45" s="59"/>
    </row>
    <row r="46" spans="1:12" hidden="1" x14ac:dyDescent="0.2">
      <c r="A46" s="71"/>
      <c r="B46" s="54"/>
      <c r="C46" s="54"/>
      <c r="D46" s="52"/>
      <c r="E46" s="54"/>
      <c r="F46" s="54"/>
      <c r="G46" s="54"/>
      <c r="H46" s="54">
        <f t="shared" si="0"/>
        <v>0</v>
      </c>
      <c r="I46" s="61"/>
      <c r="J46" s="134"/>
      <c r="L46" s="59"/>
    </row>
    <row r="47" spans="1:12" hidden="1" x14ac:dyDescent="0.2">
      <c r="A47" s="71"/>
      <c r="B47" s="54"/>
      <c r="C47" s="54"/>
      <c r="D47" s="52"/>
      <c r="E47" s="54"/>
      <c r="F47" s="54"/>
      <c r="G47" s="54"/>
      <c r="H47" s="54">
        <f t="shared" si="0"/>
        <v>0</v>
      </c>
      <c r="I47" s="61"/>
      <c r="J47" s="134"/>
      <c r="L47" s="59"/>
    </row>
    <row r="48" spans="1:12" hidden="1" x14ac:dyDescent="0.2">
      <c r="A48" s="71"/>
      <c r="B48" s="54"/>
      <c r="C48" s="54"/>
      <c r="D48" s="52"/>
      <c r="E48" s="54"/>
      <c r="F48" s="54"/>
      <c r="G48" s="54"/>
      <c r="H48" s="54">
        <f t="shared" si="0"/>
        <v>0</v>
      </c>
      <c r="I48" s="61"/>
      <c r="J48" s="134"/>
      <c r="L48" s="59"/>
    </row>
    <row r="49" spans="1:12" hidden="1" x14ac:dyDescent="0.2">
      <c r="A49" s="71"/>
      <c r="B49" s="52"/>
      <c r="C49" s="52"/>
      <c r="D49" s="52"/>
      <c r="E49" s="52"/>
      <c r="F49" s="54"/>
      <c r="G49" s="54"/>
      <c r="H49" s="54">
        <f t="shared" si="0"/>
        <v>0</v>
      </c>
      <c r="I49" s="61"/>
      <c r="J49" s="134"/>
      <c r="L49" s="59"/>
    </row>
    <row r="50" spans="1:12" hidden="1" x14ac:dyDescent="0.2">
      <c r="A50" s="71"/>
      <c r="B50" s="52"/>
      <c r="C50" s="52"/>
      <c r="D50" s="52"/>
      <c r="E50" s="52"/>
      <c r="F50" s="54"/>
      <c r="G50" s="54"/>
      <c r="H50" s="54">
        <f t="shared" si="0"/>
        <v>0</v>
      </c>
      <c r="I50" s="61"/>
      <c r="J50" s="134"/>
      <c r="L50" s="59"/>
    </row>
    <row r="51" spans="1:12" hidden="1" x14ac:dyDescent="0.2">
      <c r="A51" s="71"/>
      <c r="B51" s="52"/>
      <c r="C51" s="52"/>
      <c r="D51" s="52"/>
      <c r="E51" s="52"/>
      <c r="F51" s="54"/>
      <c r="G51" s="54"/>
      <c r="H51" s="54">
        <f t="shared" si="0"/>
        <v>0</v>
      </c>
      <c r="I51" s="61"/>
      <c r="J51" s="134"/>
      <c r="L51" s="59"/>
    </row>
    <row r="52" spans="1:12" hidden="1" x14ac:dyDescent="0.2">
      <c r="A52" s="71"/>
      <c r="B52" s="52"/>
      <c r="C52" s="52"/>
      <c r="D52" s="52"/>
      <c r="E52" s="52"/>
      <c r="F52" s="54"/>
      <c r="G52" s="54"/>
      <c r="H52" s="54">
        <f t="shared" si="0"/>
        <v>0</v>
      </c>
      <c r="I52" s="61"/>
      <c r="J52" s="134"/>
      <c r="L52" s="59"/>
    </row>
    <row r="53" spans="1:12" hidden="1" x14ac:dyDescent="0.2">
      <c r="A53" s="71"/>
      <c r="B53" s="52"/>
      <c r="C53" s="52"/>
      <c r="D53" s="52"/>
      <c r="E53" s="52"/>
      <c r="F53" s="54"/>
      <c r="G53" s="54"/>
      <c r="H53" s="54">
        <f t="shared" si="0"/>
        <v>0</v>
      </c>
      <c r="I53" s="61"/>
      <c r="J53" s="134"/>
      <c r="L53" s="59"/>
    </row>
    <row r="54" spans="1:12" hidden="1" x14ac:dyDescent="0.2">
      <c r="A54" s="72"/>
      <c r="B54" s="54"/>
      <c r="C54" s="54"/>
      <c r="D54" s="52"/>
      <c r="E54" s="54"/>
      <c r="F54" s="54"/>
      <c r="G54" s="54"/>
      <c r="H54" s="54">
        <f t="shared" si="0"/>
        <v>0</v>
      </c>
      <c r="I54" s="61"/>
      <c r="J54" s="134"/>
      <c r="L54" s="59"/>
    </row>
    <row r="55" spans="1:12" hidden="1" x14ac:dyDescent="0.2">
      <c r="A55" s="72"/>
      <c r="B55" s="54"/>
      <c r="C55" s="54"/>
      <c r="D55" s="52"/>
      <c r="E55" s="54"/>
      <c r="F55" s="54"/>
      <c r="G55" s="54"/>
      <c r="H55" s="54">
        <f t="shared" si="0"/>
        <v>0</v>
      </c>
      <c r="I55" s="61"/>
      <c r="J55" s="134"/>
      <c r="L55" s="59"/>
    </row>
    <row r="56" spans="1:12" hidden="1" x14ac:dyDescent="0.2">
      <c r="A56" s="72"/>
      <c r="B56" s="54"/>
      <c r="C56" s="54"/>
      <c r="D56" s="52"/>
      <c r="E56" s="54"/>
      <c r="F56" s="54"/>
      <c r="G56" s="54"/>
      <c r="H56" s="54">
        <f t="shared" si="0"/>
        <v>0</v>
      </c>
      <c r="I56" s="61"/>
      <c r="J56" s="134"/>
      <c r="L56" s="59"/>
    </row>
    <row r="57" spans="1:12" s="62" customFormat="1" hidden="1" x14ac:dyDescent="0.2">
      <c r="A57" s="72"/>
      <c r="B57" s="54"/>
      <c r="C57" s="54"/>
      <c r="D57" s="52"/>
      <c r="E57" s="54"/>
      <c r="F57" s="54"/>
      <c r="G57" s="54"/>
      <c r="H57" s="54">
        <f t="shared" si="0"/>
        <v>0</v>
      </c>
      <c r="I57" s="61"/>
      <c r="J57" s="134"/>
      <c r="L57" s="59"/>
    </row>
    <row r="58" spans="1:12" hidden="1" x14ac:dyDescent="0.2">
      <c r="A58" s="72"/>
      <c r="B58" s="54"/>
      <c r="C58" s="54"/>
      <c r="D58" s="52"/>
      <c r="E58" s="54"/>
      <c r="F58" s="54"/>
      <c r="G58" s="54"/>
      <c r="H58" s="54">
        <f t="shared" si="0"/>
        <v>0</v>
      </c>
      <c r="I58" s="61"/>
      <c r="J58" s="134"/>
      <c r="L58" s="59"/>
    </row>
    <row r="59" spans="1:12" hidden="1" x14ac:dyDescent="0.2">
      <c r="A59" s="72"/>
      <c r="B59" s="54"/>
      <c r="C59" s="54"/>
      <c r="D59" s="52"/>
      <c r="E59" s="54"/>
      <c r="F59" s="54"/>
      <c r="G59" s="54"/>
      <c r="H59" s="54">
        <f t="shared" si="0"/>
        <v>0</v>
      </c>
      <c r="I59" s="61"/>
      <c r="J59" s="134"/>
      <c r="L59" s="59"/>
    </row>
    <row r="60" spans="1:12" hidden="1" x14ac:dyDescent="0.2">
      <c r="A60" s="72"/>
      <c r="B60" s="54"/>
      <c r="C60" s="54"/>
      <c r="D60" s="52"/>
      <c r="E60" s="54"/>
      <c r="F60" s="54"/>
      <c r="G60" s="54"/>
      <c r="H60" s="54">
        <f t="shared" si="0"/>
        <v>0</v>
      </c>
      <c r="I60" s="61"/>
      <c r="J60" s="134"/>
      <c r="L60" s="59"/>
    </row>
    <row r="61" spans="1:12" hidden="1" x14ac:dyDescent="0.2">
      <c r="A61" s="72"/>
      <c r="B61" s="54"/>
      <c r="C61" s="54"/>
      <c r="D61" s="52"/>
      <c r="E61" s="54"/>
      <c r="F61" s="54"/>
      <c r="G61" s="54"/>
      <c r="H61" s="54">
        <f t="shared" si="0"/>
        <v>0</v>
      </c>
      <c r="I61" s="61"/>
      <c r="J61" s="134"/>
      <c r="L61" s="59"/>
    </row>
    <row r="62" spans="1:12" hidden="1" x14ac:dyDescent="0.2">
      <c r="A62" s="72"/>
      <c r="B62" s="54"/>
      <c r="C62" s="54"/>
      <c r="D62" s="52"/>
      <c r="E62" s="54"/>
      <c r="F62" s="54"/>
      <c r="G62" s="54"/>
      <c r="H62" s="54">
        <f t="shared" si="0"/>
        <v>0</v>
      </c>
      <c r="I62" s="61"/>
      <c r="J62" s="134"/>
      <c r="L62" s="59"/>
    </row>
    <row r="63" spans="1:12" hidden="1" x14ac:dyDescent="0.2">
      <c r="A63" s="72"/>
      <c r="B63" s="54"/>
      <c r="C63" s="54"/>
      <c r="D63" s="52"/>
      <c r="E63" s="54"/>
      <c r="F63" s="54"/>
      <c r="G63" s="54"/>
      <c r="H63" s="54">
        <f t="shared" si="0"/>
        <v>0</v>
      </c>
      <c r="I63" s="61"/>
      <c r="J63" s="134"/>
      <c r="L63" s="59"/>
    </row>
    <row r="64" spans="1:12" hidden="1" x14ac:dyDescent="0.2">
      <c r="A64" s="72"/>
      <c r="B64" s="54"/>
      <c r="C64" s="54"/>
      <c r="D64" s="52"/>
      <c r="E64" s="54"/>
      <c r="F64" s="54"/>
      <c r="G64" s="54"/>
      <c r="H64" s="54">
        <f t="shared" si="0"/>
        <v>0</v>
      </c>
      <c r="I64" s="61"/>
      <c r="J64" s="134"/>
      <c r="L64" s="59"/>
    </row>
    <row r="65" spans="1:12" hidden="1" x14ac:dyDescent="0.2">
      <c r="A65" s="72"/>
      <c r="B65" s="54"/>
      <c r="C65" s="54"/>
      <c r="D65" s="52"/>
      <c r="E65" s="54"/>
      <c r="F65" s="54"/>
      <c r="G65" s="54"/>
      <c r="H65" s="54">
        <f t="shared" si="0"/>
        <v>0</v>
      </c>
      <c r="I65" s="61"/>
      <c r="J65" s="135"/>
      <c r="L65" s="59"/>
    </row>
    <row r="66" spans="1:12" x14ac:dyDescent="0.2">
      <c r="A66" s="97" t="s">
        <v>13</v>
      </c>
      <c r="B66" s="97"/>
      <c r="C66" s="97"/>
      <c r="D66" s="97"/>
      <c r="E66" s="97" t="s">
        <v>19</v>
      </c>
      <c r="F66" s="97"/>
      <c r="G66" s="97"/>
      <c r="H66" s="97"/>
      <c r="I66" s="97"/>
      <c r="J66" s="97"/>
      <c r="L66" s="59"/>
    </row>
    <row r="67" spans="1:12" x14ac:dyDescent="0.2">
      <c r="A67" s="52" t="s">
        <v>3</v>
      </c>
      <c r="B67" s="52">
        <v>1</v>
      </c>
      <c r="C67" s="102" t="s">
        <v>4</v>
      </c>
      <c r="D67" s="102"/>
      <c r="E67" s="52" t="s">
        <v>253</v>
      </c>
      <c r="F67" s="52">
        <v>1</v>
      </c>
      <c r="G67" s="102" t="s">
        <v>316</v>
      </c>
      <c r="H67" s="102"/>
      <c r="I67" s="102"/>
      <c r="J67" s="102"/>
      <c r="L67" s="59"/>
    </row>
    <row r="68" spans="1:12" ht="15" customHeight="1" x14ac:dyDescent="0.2">
      <c r="A68" s="45" t="s">
        <v>5</v>
      </c>
      <c r="B68" s="45">
        <v>2</v>
      </c>
      <c r="C68" s="103" t="s">
        <v>6</v>
      </c>
      <c r="D68" s="103"/>
      <c r="E68" s="45" t="s">
        <v>254</v>
      </c>
      <c r="F68" s="45">
        <v>2</v>
      </c>
      <c r="G68" s="90" t="s">
        <v>258</v>
      </c>
      <c r="H68" s="107"/>
      <c r="I68" s="107"/>
      <c r="J68" s="91"/>
      <c r="L68" s="59"/>
    </row>
    <row r="69" spans="1:12" x14ac:dyDescent="0.2">
      <c r="A69" s="46" t="s">
        <v>7</v>
      </c>
      <c r="B69" s="46">
        <v>3</v>
      </c>
      <c r="C69" s="98" t="s">
        <v>8</v>
      </c>
      <c r="D69" s="98"/>
      <c r="E69" s="46" t="s">
        <v>255</v>
      </c>
      <c r="F69" s="46">
        <v>3</v>
      </c>
      <c r="G69" s="98" t="s">
        <v>259</v>
      </c>
      <c r="H69" s="98"/>
      <c r="I69" s="98"/>
      <c r="J69" s="98"/>
      <c r="L69" s="59"/>
    </row>
    <row r="70" spans="1:12" x14ac:dyDescent="0.2">
      <c r="A70" s="47" t="s">
        <v>9</v>
      </c>
      <c r="B70" s="47">
        <v>4</v>
      </c>
      <c r="C70" s="99" t="s">
        <v>10</v>
      </c>
      <c r="D70" s="99"/>
      <c r="E70" s="47" t="s">
        <v>256</v>
      </c>
      <c r="F70" s="47">
        <v>4</v>
      </c>
      <c r="G70" s="99" t="s">
        <v>260</v>
      </c>
      <c r="H70" s="99"/>
      <c r="I70" s="99"/>
      <c r="J70" s="99"/>
      <c r="L70" s="59"/>
    </row>
    <row r="71" spans="1:12" x14ac:dyDescent="0.2">
      <c r="A71" s="48" t="s">
        <v>11</v>
      </c>
      <c r="B71" s="48">
        <v>5</v>
      </c>
      <c r="C71" s="79" t="s">
        <v>12</v>
      </c>
      <c r="D71" s="79"/>
      <c r="E71" s="48" t="s">
        <v>257</v>
      </c>
      <c r="F71" s="48">
        <v>5</v>
      </c>
      <c r="G71" s="79" t="s">
        <v>261</v>
      </c>
      <c r="H71" s="79"/>
      <c r="I71" s="79"/>
      <c r="J71" s="79"/>
      <c r="L71" s="59"/>
    </row>
    <row r="72" spans="1:12" x14ac:dyDescent="0.2">
      <c r="A72" s="131" t="s">
        <v>161</v>
      </c>
      <c r="B72" s="131"/>
      <c r="C72" s="131"/>
      <c r="D72" s="131"/>
      <c r="E72" s="131"/>
      <c r="F72" s="131"/>
      <c r="G72" s="131"/>
      <c r="H72" s="131"/>
      <c r="I72" s="131"/>
      <c r="J72" s="131"/>
      <c r="L72" s="59"/>
    </row>
    <row r="73" spans="1:12" x14ac:dyDescent="0.2">
      <c r="A73" s="80" t="s">
        <v>13</v>
      </c>
      <c r="B73" s="81"/>
      <c r="C73" s="97" t="s">
        <v>19</v>
      </c>
      <c r="D73" s="97"/>
      <c r="E73" s="97"/>
      <c r="F73" s="97"/>
      <c r="G73" s="97"/>
      <c r="H73" s="97"/>
      <c r="I73" s="97"/>
      <c r="J73" s="97"/>
      <c r="L73" s="59"/>
    </row>
    <row r="74" spans="1:12" x14ac:dyDescent="0.2">
      <c r="C74" s="52" t="s">
        <v>253</v>
      </c>
      <c r="D74" s="75" t="s">
        <v>254</v>
      </c>
      <c r="E74" s="75"/>
      <c r="F74" s="75" t="s">
        <v>255</v>
      </c>
      <c r="G74" s="75"/>
      <c r="H74" s="75"/>
      <c r="I74" s="52" t="s">
        <v>262</v>
      </c>
      <c r="J74" s="52" t="s">
        <v>263</v>
      </c>
      <c r="L74" s="59"/>
    </row>
    <row r="75" spans="1:12" x14ac:dyDescent="0.2">
      <c r="A75" s="116" t="s">
        <v>29</v>
      </c>
      <c r="B75" s="116"/>
      <c r="C75" s="51">
        <v>5</v>
      </c>
      <c r="D75" s="98">
        <v>10</v>
      </c>
      <c r="E75" s="98"/>
      <c r="F75" s="79">
        <v>15</v>
      </c>
      <c r="G75" s="79"/>
      <c r="H75" s="79"/>
      <c r="I75" s="53">
        <v>20</v>
      </c>
      <c r="J75" s="53">
        <v>25</v>
      </c>
      <c r="L75" s="59"/>
    </row>
    <row r="76" spans="1:12" x14ac:dyDescent="0.2">
      <c r="A76" s="116" t="s">
        <v>30</v>
      </c>
      <c r="B76" s="116"/>
      <c r="C76" s="55">
        <v>4</v>
      </c>
      <c r="D76" s="98">
        <v>8</v>
      </c>
      <c r="E76" s="98"/>
      <c r="F76" s="79">
        <v>12</v>
      </c>
      <c r="G76" s="79"/>
      <c r="H76" s="79"/>
      <c r="I76" s="53">
        <v>16</v>
      </c>
      <c r="J76" s="53">
        <v>20</v>
      </c>
      <c r="L76" s="59"/>
    </row>
    <row r="77" spans="1:12" x14ac:dyDescent="0.2">
      <c r="A77" s="119" t="s">
        <v>31</v>
      </c>
      <c r="B77" s="119"/>
      <c r="C77" s="63">
        <v>3</v>
      </c>
      <c r="D77" s="117">
        <v>6</v>
      </c>
      <c r="E77" s="117"/>
      <c r="F77" s="98">
        <v>9</v>
      </c>
      <c r="G77" s="98"/>
      <c r="H77" s="98"/>
      <c r="I77" s="64">
        <v>12</v>
      </c>
      <c r="J77" s="64">
        <v>15</v>
      </c>
      <c r="L77" s="59"/>
    </row>
    <row r="78" spans="1:12" x14ac:dyDescent="0.2">
      <c r="A78" s="116" t="s">
        <v>32</v>
      </c>
      <c r="B78" s="116"/>
      <c r="C78" s="55">
        <v>2</v>
      </c>
      <c r="D78" s="103">
        <v>4</v>
      </c>
      <c r="E78" s="103"/>
      <c r="F78" s="98">
        <v>6</v>
      </c>
      <c r="G78" s="98"/>
      <c r="H78" s="98"/>
      <c r="I78" s="51">
        <v>8</v>
      </c>
      <c r="J78" s="51">
        <v>10</v>
      </c>
      <c r="L78" s="59"/>
    </row>
    <row r="79" spans="1:12" x14ac:dyDescent="0.2">
      <c r="A79" s="116" t="s">
        <v>33</v>
      </c>
      <c r="B79" s="116"/>
      <c r="C79" s="55">
        <v>1</v>
      </c>
      <c r="D79" s="90">
        <v>2</v>
      </c>
      <c r="E79" s="91"/>
      <c r="F79" s="103">
        <v>3</v>
      </c>
      <c r="G79" s="103"/>
      <c r="H79" s="103"/>
      <c r="I79" s="55">
        <v>4</v>
      </c>
      <c r="J79" s="51">
        <v>5</v>
      </c>
      <c r="L79" s="59"/>
    </row>
    <row r="80" spans="1:12" x14ac:dyDescent="0.2">
      <c r="A80" s="97" t="s">
        <v>34</v>
      </c>
      <c r="B80" s="97"/>
      <c r="C80" s="97" t="s">
        <v>35</v>
      </c>
      <c r="D80" s="97"/>
      <c r="E80" s="97"/>
      <c r="F80" s="97"/>
      <c r="G80" s="97"/>
      <c r="H80" s="97" t="s">
        <v>36</v>
      </c>
      <c r="I80" s="97"/>
      <c r="J80" s="97"/>
      <c r="L80" s="59"/>
    </row>
    <row r="81" spans="1:12" ht="30" x14ac:dyDescent="0.2">
      <c r="A81" s="53" t="s">
        <v>37</v>
      </c>
      <c r="B81" s="48" t="s">
        <v>42</v>
      </c>
      <c r="C81" s="115" t="s">
        <v>264</v>
      </c>
      <c r="D81" s="115"/>
      <c r="E81" s="115"/>
      <c r="F81" s="115"/>
      <c r="G81" s="115"/>
      <c r="H81" s="102" t="s">
        <v>72</v>
      </c>
      <c r="I81" s="102"/>
      <c r="J81" s="102"/>
      <c r="L81" s="59"/>
    </row>
    <row r="82" spans="1:12" ht="30" x14ac:dyDescent="0.2">
      <c r="A82" s="51" t="s">
        <v>38</v>
      </c>
      <c r="B82" s="46" t="s">
        <v>41</v>
      </c>
      <c r="C82" s="115" t="s">
        <v>160</v>
      </c>
      <c r="D82" s="115"/>
      <c r="E82" s="115"/>
      <c r="F82" s="115"/>
      <c r="G82" s="115"/>
      <c r="H82" s="102" t="s">
        <v>317</v>
      </c>
      <c r="I82" s="102"/>
      <c r="J82" s="102"/>
      <c r="L82" s="59"/>
    </row>
    <row r="83" spans="1:12" ht="30" x14ac:dyDescent="0.2">
      <c r="A83" s="65" t="s">
        <v>39</v>
      </c>
      <c r="B83" s="66" t="s">
        <v>40</v>
      </c>
      <c r="C83" s="120" t="s">
        <v>265</v>
      </c>
      <c r="D83" s="120"/>
      <c r="E83" s="120"/>
      <c r="F83" s="120"/>
      <c r="G83" s="115"/>
      <c r="H83" s="102" t="s">
        <v>73</v>
      </c>
      <c r="I83" s="102"/>
      <c r="J83" s="102"/>
      <c r="L83" s="59"/>
    </row>
    <row r="84" spans="1:12" ht="15.75" customHeight="1" x14ac:dyDescent="0.2">
      <c r="A84" s="75" t="s">
        <v>271</v>
      </c>
      <c r="B84" s="75"/>
      <c r="C84" s="75"/>
      <c r="D84" s="75" t="s">
        <v>272</v>
      </c>
      <c r="E84" s="75"/>
      <c r="F84" s="75"/>
      <c r="G84" s="75" t="s">
        <v>273</v>
      </c>
      <c r="H84" s="75"/>
      <c r="I84" s="75"/>
      <c r="J84" s="75"/>
      <c r="L84" s="59"/>
    </row>
    <row r="85" spans="1:12" ht="15.75" customHeight="1" x14ac:dyDescent="0.2">
      <c r="A85" s="118" t="s">
        <v>313</v>
      </c>
      <c r="B85" s="118"/>
      <c r="C85" s="118"/>
      <c r="D85" s="118" t="s">
        <v>314</v>
      </c>
      <c r="E85" s="118"/>
      <c r="F85" s="118"/>
      <c r="G85" s="75" t="s">
        <v>267</v>
      </c>
      <c r="H85" s="75"/>
      <c r="I85" s="75"/>
      <c r="J85" s="75"/>
      <c r="L85" s="59"/>
    </row>
    <row r="86" spans="1:12" ht="15" customHeight="1" x14ac:dyDescent="0.2">
      <c r="A86" s="118"/>
      <c r="B86" s="118"/>
      <c r="C86" s="118"/>
      <c r="D86" s="118"/>
      <c r="E86" s="118"/>
      <c r="F86" s="118"/>
      <c r="G86" s="75"/>
      <c r="H86" s="75"/>
      <c r="I86" s="75"/>
      <c r="J86" s="75"/>
      <c r="L86" s="59"/>
    </row>
  </sheetData>
  <dataConsolidate/>
  <mergeCells count="173">
    <mergeCell ref="A42:A43"/>
    <mergeCell ref="E40:E43"/>
    <mergeCell ref="I42:I43"/>
    <mergeCell ref="C35:D35"/>
    <mergeCell ref="C27:D27"/>
    <mergeCell ref="E27:G27"/>
    <mergeCell ref="A23:B23"/>
    <mergeCell ref="C34:D34"/>
    <mergeCell ref="E25:G25"/>
    <mergeCell ref="C26:D26"/>
    <mergeCell ref="H25:J25"/>
    <mergeCell ref="A28:B28"/>
    <mergeCell ref="A27:B27"/>
    <mergeCell ref="H24:J24"/>
    <mergeCell ref="A25:B25"/>
    <mergeCell ref="A34:B34"/>
    <mergeCell ref="H33:J33"/>
    <mergeCell ref="H34:J34"/>
    <mergeCell ref="H31:J31"/>
    <mergeCell ref="H23:J23"/>
    <mergeCell ref="H27:J27"/>
    <mergeCell ref="A31:B31"/>
    <mergeCell ref="C31:D31"/>
    <mergeCell ref="C30:D30"/>
    <mergeCell ref="E3:H4"/>
    <mergeCell ref="C3:C4"/>
    <mergeCell ref="D5:J5"/>
    <mergeCell ref="A1:A4"/>
    <mergeCell ref="B3:B4"/>
    <mergeCell ref="B1:H2"/>
    <mergeCell ref="A13:B13"/>
    <mergeCell ref="E13:G13"/>
    <mergeCell ref="A20:B20"/>
    <mergeCell ref="E20:G20"/>
    <mergeCell ref="C14:D14"/>
    <mergeCell ref="A16:B16"/>
    <mergeCell ref="C16:D16"/>
    <mergeCell ref="C19:D19"/>
    <mergeCell ref="C18:D18"/>
    <mergeCell ref="E16:G16"/>
    <mergeCell ref="E17:G17"/>
    <mergeCell ref="A14:B14"/>
    <mergeCell ref="A15:B15"/>
    <mergeCell ref="A19:B19"/>
    <mergeCell ref="H20:J20"/>
    <mergeCell ref="D3:D4"/>
    <mergeCell ref="C10:D11"/>
    <mergeCell ref="H10:J11"/>
    <mergeCell ref="A17:B17"/>
    <mergeCell ref="C73:J73"/>
    <mergeCell ref="A72:J72"/>
    <mergeCell ref="E32:G32"/>
    <mergeCell ref="A33:B33"/>
    <mergeCell ref="A35:B35"/>
    <mergeCell ref="A38:J38"/>
    <mergeCell ref="A26:B26"/>
    <mergeCell ref="H21:J21"/>
    <mergeCell ref="J40:J65"/>
    <mergeCell ref="A29:B29"/>
    <mergeCell ref="A36:B36"/>
    <mergeCell ref="C29:D29"/>
    <mergeCell ref="E29:G29"/>
    <mergeCell ref="E30:G30"/>
    <mergeCell ref="H37:J37"/>
    <mergeCell ref="A37:B37"/>
    <mergeCell ref="E22:G22"/>
    <mergeCell ref="C37:D37"/>
    <mergeCell ref="C36:D36"/>
    <mergeCell ref="H35:J35"/>
    <mergeCell ref="A32:B32"/>
    <mergeCell ref="C32:D32"/>
    <mergeCell ref="C33:D33"/>
    <mergeCell ref="A85:C86"/>
    <mergeCell ref="D84:F84"/>
    <mergeCell ref="A77:B77"/>
    <mergeCell ref="H83:J83"/>
    <mergeCell ref="H80:J80"/>
    <mergeCell ref="H81:J81"/>
    <mergeCell ref="H82:J82"/>
    <mergeCell ref="C82:G82"/>
    <mergeCell ref="A76:B76"/>
    <mergeCell ref="D76:E76"/>
    <mergeCell ref="C83:G83"/>
    <mergeCell ref="A80:B80"/>
    <mergeCell ref="C80:G80"/>
    <mergeCell ref="G85:J86"/>
    <mergeCell ref="D85:F86"/>
    <mergeCell ref="A11:B11"/>
    <mergeCell ref="E12:G12"/>
    <mergeCell ref="E36:G36"/>
    <mergeCell ref="E18:G18"/>
    <mergeCell ref="H18:J18"/>
    <mergeCell ref="E26:G26"/>
    <mergeCell ref="H16:J16"/>
    <mergeCell ref="H17:J17"/>
    <mergeCell ref="C81:G81"/>
    <mergeCell ref="A79:B79"/>
    <mergeCell ref="D75:E75"/>
    <mergeCell ref="F79:H79"/>
    <mergeCell ref="D78:E78"/>
    <mergeCell ref="D77:E77"/>
    <mergeCell ref="A78:B78"/>
    <mergeCell ref="F77:H77"/>
    <mergeCell ref="A75:B75"/>
    <mergeCell ref="H12:J13"/>
    <mergeCell ref="C12:D13"/>
    <mergeCell ref="H19:J19"/>
    <mergeCell ref="A22:B22"/>
    <mergeCell ref="C22:D22"/>
    <mergeCell ref="H22:J22"/>
    <mergeCell ref="A21:B21"/>
    <mergeCell ref="A18:B18"/>
    <mergeCell ref="A30:B30"/>
    <mergeCell ref="G67:J67"/>
    <mergeCell ref="C67:D67"/>
    <mergeCell ref="C68:D68"/>
    <mergeCell ref="E10:G10"/>
    <mergeCell ref="E37:G37"/>
    <mergeCell ref="G68:J68"/>
    <mergeCell ref="H8:J8"/>
    <mergeCell ref="E8:G8"/>
    <mergeCell ref="H36:J36"/>
    <mergeCell ref="E24:G24"/>
    <mergeCell ref="H29:J29"/>
    <mergeCell ref="E23:G23"/>
    <mergeCell ref="H30:J30"/>
    <mergeCell ref="H28:J28"/>
    <mergeCell ref="E28:G28"/>
    <mergeCell ref="E11:G11"/>
    <mergeCell ref="E19:G19"/>
    <mergeCell ref="H26:J26"/>
    <mergeCell ref="E15:G15"/>
    <mergeCell ref="E31:G31"/>
    <mergeCell ref="A9:J9"/>
    <mergeCell ref="A24:B24"/>
    <mergeCell ref="G70:J70"/>
    <mergeCell ref="C70:D70"/>
    <mergeCell ref="G69:J69"/>
    <mergeCell ref="C17:D17"/>
    <mergeCell ref="C25:D25"/>
    <mergeCell ref="C23:D23"/>
    <mergeCell ref="E14:G14"/>
    <mergeCell ref="F78:H78"/>
    <mergeCell ref="C28:D28"/>
    <mergeCell ref="C24:D24"/>
    <mergeCell ref="C21:D21"/>
    <mergeCell ref="E21:G21"/>
    <mergeCell ref="C20:D20"/>
    <mergeCell ref="H32:J32"/>
    <mergeCell ref="A84:C84"/>
    <mergeCell ref="A6:J6"/>
    <mergeCell ref="G71:J71"/>
    <mergeCell ref="F74:H74"/>
    <mergeCell ref="F75:H75"/>
    <mergeCell ref="F76:H76"/>
    <mergeCell ref="A73:B73"/>
    <mergeCell ref="G84:J84"/>
    <mergeCell ref="A8:B8"/>
    <mergeCell ref="C8:D8"/>
    <mergeCell ref="H14:J14"/>
    <mergeCell ref="A12:B12"/>
    <mergeCell ref="H15:J15"/>
    <mergeCell ref="D74:E74"/>
    <mergeCell ref="D79:E79"/>
    <mergeCell ref="E33:G33"/>
    <mergeCell ref="E34:G34"/>
    <mergeCell ref="E35:G35"/>
    <mergeCell ref="A7:J7"/>
    <mergeCell ref="A10:B10"/>
    <mergeCell ref="E66:J66"/>
    <mergeCell ref="C71:D71"/>
    <mergeCell ref="A66:D66"/>
    <mergeCell ref="C69:D69"/>
  </mergeCells>
  <conditionalFormatting sqref="D40:D65">
    <cfRule type="containsText" dxfId="8" priority="1" operator="containsText" text="TOLERÁVEL">
      <formula>NOT(ISERROR(SEARCH("TOLERÁVEL",D40)))</formula>
    </cfRule>
    <cfRule type="containsText" dxfId="7" priority="2" operator="containsText" text="RAZOÁVEL (ALARP)">
      <formula>NOT(ISERROR(SEARCH("RAZOÁVEL (ALARP)",D40)))</formula>
    </cfRule>
    <cfRule type="containsText" dxfId="6" priority="3" operator="containsText" text="INACEITÁVEL">
      <formula>NOT(ISERROR(SEARCH("INACEITÁVEL",D40)))</formula>
    </cfRule>
  </conditionalFormatting>
  <conditionalFormatting sqref="H40:H65">
    <cfRule type="cellIs" dxfId="5" priority="10" stopIfTrue="1" operator="between">
      <formula>1</formula>
      <formula>4</formula>
    </cfRule>
    <cfRule type="cellIs" dxfId="4" priority="11" stopIfTrue="1" operator="between">
      <formula>5</formula>
      <formula>10</formula>
    </cfRule>
    <cfRule type="cellIs" dxfId="3" priority="12" stopIfTrue="1" operator="greaterThanOrEqual">
      <formula>12</formula>
    </cfRule>
  </conditionalFormatting>
  <pageMargins left="0.39370078740157483" right="0.39370078740157483" top="0.59055118110236227" bottom="0.59055118110236227" header="0.31496062992125984" footer="0.31496062992125984"/>
  <pageSetup paperSize="9" scale="68" fitToHeight="0" orientation="landscape" r:id="rId1"/>
  <headerFooter>
    <oddFooter>&amp;CModelo Mapeamento de Processos</oddFooter>
  </headerFooter>
  <rowBreaks count="1" manualBreakCount="1">
    <brk id="40" max="9" man="1"/>
  </rowBreaks>
  <ignoredErrors>
    <ignoredError sqref="J3" numberStoredAsText="1"/>
  </ignoredErrors>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14:formula1>
            <xm:f>Plan1!$B$1:$B$7</xm:f>
          </x14:formula1>
          <xm:sqref>C3:C4 A10:B37 E10:G37 B40:B65</xm:sqref>
        </x14:dataValidation>
        <x14:dataValidation type="list" allowBlank="1" showInputMessage="1" showErrorMessage="1">
          <x14:formula1>
            <xm:f>Plan1!$C$1:$C$3</xm:f>
          </x14:formula1>
          <xm:sqref>D40:D65</xm:sqref>
        </x14:dataValidation>
        <x14:dataValidation type="list" allowBlank="1" showInputMessage="1" showErrorMessage="1">
          <x14:formula1>
            <xm:f>Plan1!$A$1:$A$15</xm:f>
          </x14:formula1>
          <xm:sqref>E3:H4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workbookViewId="0">
      <selection activeCell="A10" sqref="A10"/>
    </sheetView>
  </sheetViews>
  <sheetFormatPr defaultRowHeight="15" x14ac:dyDescent="0.25"/>
  <cols>
    <col min="1" max="1" width="24.28515625" style="40" customWidth="1"/>
  </cols>
  <sheetData>
    <row r="1" spans="1:8" x14ac:dyDescent="0.25">
      <c r="A1" s="38" t="s">
        <v>299</v>
      </c>
      <c r="B1" s="38" t="s">
        <v>274</v>
      </c>
      <c r="C1" s="38" t="s">
        <v>268</v>
      </c>
      <c r="D1" s="38" t="s">
        <v>294</v>
      </c>
    </row>
    <row r="2" spans="1:8" x14ac:dyDescent="0.25">
      <c r="A2" s="38" t="s">
        <v>300</v>
      </c>
      <c r="B2" s="38" t="s">
        <v>280</v>
      </c>
      <c r="C2" s="38" t="s">
        <v>269</v>
      </c>
      <c r="D2" s="38" t="s">
        <v>295</v>
      </c>
    </row>
    <row r="3" spans="1:8" x14ac:dyDescent="0.25">
      <c r="A3" s="38" t="s">
        <v>301</v>
      </c>
      <c r="B3" s="38" t="s">
        <v>281</v>
      </c>
      <c r="C3" s="38" t="s">
        <v>270</v>
      </c>
      <c r="D3" s="38" t="s">
        <v>280</v>
      </c>
    </row>
    <row r="4" spans="1:8" x14ac:dyDescent="0.25">
      <c r="A4" s="38" t="s">
        <v>302</v>
      </c>
      <c r="B4" s="38" t="s">
        <v>282</v>
      </c>
      <c r="D4" s="38" t="s">
        <v>282</v>
      </c>
    </row>
    <row r="5" spans="1:8" x14ac:dyDescent="0.25">
      <c r="A5" s="38" t="s">
        <v>303</v>
      </c>
      <c r="B5" s="38" t="s">
        <v>283</v>
      </c>
      <c r="D5" s="38" t="s">
        <v>296</v>
      </c>
    </row>
    <row r="6" spans="1:8" x14ac:dyDescent="0.25">
      <c r="A6" s="38" t="s">
        <v>304</v>
      </c>
      <c r="B6" s="38" t="s">
        <v>266</v>
      </c>
      <c r="D6" s="38" t="s">
        <v>283</v>
      </c>
    </row>
    <row r="7" spans="1:8" x14ac:dyDescent="0.25">
      <c r="A7" s="38" t="s">
        <v>305</v>
      </c>
      <c r="B7" s="38" t="s">
        <v>284</v>
      </c>
      <c r="D7" s="38" t="s">
        <v>266</v>
      </c>
    </row>
    <row r="8" spans="1:8" x14ac:dyDescent="0.25">
      <c r="A8" s="38" t="s">
        <v>306</v>
      </c>
      <c r="B8" s="38" t="s">
        <v>275</v>
      </c>
      <c r="D8" s="38" t="s">
        <v>288</v>
      </c>
      <c r="H8" s="38"/>
    </row>
    <row r="9" spans="1:8" x14ac:dyDescent="0.25">
      <c r="A9" s="38" t="s">
        <v>331</v>
      </c>
      <c r="B9" s="38" t="s">
        <v>285</v>
      </c>
      <c r="D9" s="38" t="s">
        <v>297</v>
      </c>
      <c r="H9" s="38"/>
    </row>
    <row r="10" spans="1:8" x14ac:dyDescent="0.25">
      <c r="A10" s="38" t="s">
        <v>307</v>
      </c>
      <c r="B10" s="38" t="s">
        <v>286</v>
      </c>
      <c r="D10" s="38" t="s">
        <v>298</v>
      </c>
      <c r="H10" s="38"/>
    </row>
    <row r="11" spans="1:8" x14ac:dyDescent="0.25">
      <c r="A11" s="38" t="s">
        <v>308</v>
      </c>
      <c r="B11" s="38" t="s">
        <v>287</v>
      </c>
      <c r="D11" s="38" t="s">
        <v>290</v>
      </c>
    </row>
    <row r="12" spans="1:8" x14ac:dyDescent="0.25">
      <c r="A12" s="38" t="s">
        <v>309</v>
      </c>
      <c r="B12" s="38" t="s">
        <v>276</v>
      </c>
      <c r="D12" s="38" t="s">
        <v>291</v>
      </c>
    </row>
    <row r="13" spans="1:8" x14ac:dyDescent="0.25">
      <c r="A13" s="38" t="s">
        <v>310</v>
      </c>
      <c r="B13" s="38" t="s">
        <v>288</v>
      </c>
      <c r="D13" s="38" t="s">
        <v>292</v>
      </c>
    </row>
    <row r="14" spans="1:8" x14ac:dyDescent="0.25">
      <c r="A14" s="38" t="s">
        <v>311</v>
      </c>
      <c r="B14" s="38" t="s">
        <v>289</v>
      </c>
      <c r="D14" s="38"/>
    </row>
    <row r="15" spans="1:8" x14ac:dyDescent="0.25">
      <c r="A15" s="38" t="s">
        <v>312</v>
      </c>
      <c r="B15" s="38" t="s">
        <v>290</v>
      </c>
      <c r="D15" s="38"/>
    </row>
    <row r="16" spans="1:8" x14ac:dyDescent="0.25">
      <c r="A16" s="38"/>
      <c r="B16" s="38" t="s">
        <v>291</v>
      </c>
      <c r="D16" s="38"/>
    </row>
    <row r="17" spans="1:4" x14ac:dyDescent="0.25">
      <c r="A17" s="38"/>
      <c r="B17" s="38" t="s">
        <v>292</v>
      </c>
      <c r="D17" s="38"/>
    </row>
    <row r="18" spans="1:4" x14ac:dyDescent="0.25">
      <c r="A18" s="38"/>
      <c r="B18" s="38" t="s">
        <v>293</v>
      </c>
      <c r="D18" s="38"/>
    </row>
    <row r="19" spans="1:4" x14ac:dyDescent="0.25">
      <c r="A19" s="38"/>
      <c r="B19" s="38"/>
    </row>
    <row r="20" spans="1:4" x14ac:dyDescent="0.25">
      <c r="A20" s="38"/>
      <c r="B20" s="38"/>
    </row>
    <row r="21" spans="1:4" x14ac:dyDescent="0.25">
      <c r="A21" s="38"/>
      <c r="B21" s="38"/>
    </row>
    <row r="22" spans="1:4" x14ac:dyDescent="0.25">
      <c r="A22" s="38"/>
      <c r="B22" s="38"/>
    </row>
    <row r="23" spans="1:4" x14ac:dyDescent="0.25">
      <c r="A23" s="38"/>
      <c r="B23" s="38"/>
    </row>
    <row r="24" spans="1:4" x14ac:dyDescent="0.25">
      <c r="A24" s="38"/>
      <c r="B24" s="38"/>
    </row>
    <row r="25" spans="1:4" x14ac:dyDescent="0.25">
      <c r="A25" s="38"/>
      <c r="B25" s="38"/>
    </row>
    <row r="26" spans="1:4" x14ac:dyDescent="0.25">
      <c r="A26" s="38"/>
      <c r="B26" s="38"/>
    </row>
    <row r="27" spans="1:4" x14ac:dyDescent="0.25">
      <c r="A27" s="38"/>
      <c r="B27" s="38"/>
    </row>
    <row r="28" spans="1:4" x14ac:dyDescent="0.25">
      <c r="A28" s="38"/>
      <c r="B28" s="38"/>
    </row>
    <row r="29" spans="1:4" x14ac:dyDescent="0.25">
      <c r="A29" s="38"/>
      <c r="B29" s="38"/>
    </row>
    <row r="30" spans="1:4" x14ac:dyDescent="0.25">
      <c r="A30" s="38"/>
    </row>
    <row r="31" spans="1:4" x14ac:dyDescent="0.25">
      <c r="A31" s="38"/>
    </row>
    <row r="32" spans="1:4" x14ac:dyDescent="0.25">
      <c r="A32" s="38"/>
    </row>
    <row r="33" spans="1:1" x14ac:dyDescent="0.25">
      <c r="A33" s="38"/>
    </row>
    <row r="34" spans="1:1" x14ac:dyDescent="0.25">
      <c r="A34" s="38"/>
    </row>
    <row r="35" spans="1:1" x14ac:dyDescent="0.25">
      <c r="A35" s="38"/>
    </row>
    <row r="36" spans="1:1" x14ac:dyDescent="0.25">
      <c r="A36" s="38"/>
    </row>
    <row r="37" spans="1:1" x14ac:dyDescent="0.25">
      <c r="A37" s="38"/>
    </row>
    <row r="38" spans="1:1" x14ac:dyDescent="0.25">
      <c r="A38" s="38"/>
    </row>
    <row r="39" spans="1:1" x14ac:dyDescent="0.25">
      <c r="A39" s="38"/>
    </row>
    <row r="40" spans="1:1" x14ac:dyDescent="0.25">
      <c r="A40" s="38"/>
    </row>
    <row r="41" spans="1:1" x14ac:dyDescent="0.25">
      <c r="A41" s="38"/>
    </row>
    <row r="42" spans="1:1" x14ac:dyDescent="0.25">
      <c r="A42" s="38"/>
    </row>
    <row r="43" spans="1:1" x14ac:dyDescent="0.25">
      <c r="A43" s="38"/>
    </row>
    <row r="44" spans="1:1" x14ac:dyDescent="0.25">
      <c r="A44" s="38"/>
    </row>
    <row r="45" spans="1:1" x14ac:dyDescent="0.25">
      <c r="A45" s="38"/>
    </row>
    <row r="46" spans="1:1" x14ac:dyDescent="0.25">
      <c r="A46" s="38"/>
    </row>
    <row r="47" spans="1:1" x14ac:dyDescent="0.25">
      <c r="A47" s="38"/>
    </row>
    <row r="48" spans="1:1" x14ac:dyDescent="0.25">
      <c r="A48" s="38"/>
    </row>
    <row r="49" spans="1:1" x14ac:dyDescent="0.25">
      <c r="A49" s="38"/>
    </row>
    <row r="50" spans="1:1" x14ac:dyDescent="0.25">
      <c r="A50" s="38"/>
    </row>
    <row r="51" spans="1:1" x14ac:dyDescent="0.25">
      <c r="A51" s="38"/>
    </row>
    <row r="52" spans="1:1" x14ac:dyDescent="0.25">
      <c r="A52" s="38"/>
    </row>
    <row r="53" spans="1:1" x14ac:dyDescent="0.25">
      <c r="A53" s="38"/>
    </row>
    <row r="54" spans="1:1" x14ac:dyDescent="0.25">
      <c r="A54" s="38"/>
    </row>
    <row r="55" spans="1:1" x14ac:dyDescent="0.25">
      <c r="A55" s="38"/>
    </row>
    <row r="56" spans="1:1" x14ac:dyDescent="0.25">
      <c r="A56" s="38"/>
    </row>
    <row r="57" spans="1:1" x14ac:dyDescent="0.25">
      <c r="A57" s="38"/>
    </row>
    <row r="58" spans="1:1" x14ac:dyDescent="0.25">
      <c r="A58" s="38"/>
    </row>
    <row r="59" spans="1:1" x14ac:dyDescent="0.25">
      <c r="A59" s="38"/>
    </row>
    <row r="60" spans="1:1" x14ac:dyDescent="0.25">
      <c r="A60" s="38"/>
    </row>
    <row r="61" spans="1:1" x14ac:dyDescent="0.25">
      <c r="A61" s="38"/>
    </row>
    <row r="62" spans="1:1" x14ac:dyDescent="0.25">
      <c r="A62" s="38"/>
    </row>
    <row r="63" spans="1:1" x14ac:dyDescent="0.25">
      <c r="A63" s="38"/>
    </row>
    <row r="64" spans="1:1" x14ac:dyDescent="0.25">
      <c r="A64" s="38"/>
    </row>
    <row r="65" spans="1:1" x14ac:dyDescent="0.25">
      <c r="A65" s="39"/>
    </row>
    <row r="66" spans="1:1" x14ac:dyDescent="0.25">
      <c r="A66" s="39"/>
    </row>
    <row r="67" spans="1:1" x14ac:dyDescent="0.25">
      <c r="A67" s="39"/>
    </row>
    <row r="68" spans="1:1" x14ac:dyDescent="0.25">
      <c r="A68" s="39"/>
    </row>
    <row r="69" spans="1:1" x14ac:dyDescent="0.25">
      <c r="A69" s="39"/>
    </row>
    <row r="70" spans="1:1" x14ac:dyDescent="0.25">
      <c r="A70" s="39"/>
    </row>
    <row r="71" spans="1:1" x14ac:dyDescent="0.25">
      <c r="A71" s="39"/>
    </row>
    <row r="72" spans="1:1" x14ac:dyDescent="0.25">
      <c r="A72" s="39"/>
    </row>
    <row r="73" spans="1:1" x14ac:dyDescent="0.25">
      <c r="A73" s="39"/>
    </row>
    <row r="74" spans="1:1" x14ac:dyDescent="0.25">
      <c r="A74" s="39"/>
    </row>
    <row r="75" spans="1:1" x14ac:dyDescent="0.25">
      <c r="A75" s="39"/>
    </row>
    <row r="76" spans="1:1" x14ac:dyDescent="0.25">
      <c r="A76" s="39"/>
    </row>
    <row r="77" spans="1:1" x14ac:dyDescent="0.25">
      <c r="A77" s="39"/>
    </row>
    <row r="78" spans="1:1" x14ac:dyDescent="0.25">
      <c r="A78" s="39"/>
    </row>
    <row r="79" spans="1:1" x14ac:dyDescent="0.25">
      <c r="A79" s="39"/>
    </row>
    <row r="80" spans="1:1" x14ac:dyDescent="0.25">
      <c r="A80" s="39"/>
    </row>
    <row r="81" spans="1:1" x14ac:dyDescent="0.25">
      <c r="A81" s="39"/>
    </row>
    <row r="82" spans="1:1" x14ac:dyDescent="0.25">
      <c r="A82" s="39"/>
    </row>
    <row r="83" spans="1:1" x14ac:dyDescent="0.25">
      <c r="A83" s="39"/>
    </row>
    <row r="84" spans="1:1" x14ac:dyDescent="0.25">
      <c r="A84" s="39"/>
    </row>
    <row r="85" spans="1:1" x14ac:dyDescent="0.25">
      <c r="A85" s="39"/>
    </row>
    <row r="86" spans="1:1" x14ac:dyDescent="0.25">
      <c r="A86" s="39"/>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FB79"/>
    <pageSetUpPr fitToPage="1"/>
  </sheetPr>
  <dimension ref="A1:J93"/>
  <sheetViews>
    <sheetView showGridLines="0" topLeftCell="A28" zoomScale="70" zoomScaleNormal="70" zoomScaleSheetLayoutView="70" workbookViewId="0">
      <selection activeCell="C44" sqref="C44:C47"/>
    </sheetView>
  </sheetViews>
  <sheetFormatPr defaultColWidth="8.7109375" defaultRowHeight="15" x14ac:dyDescent="0.2"/>
  <cols>
    <col min="1" max="1" width="24.5703125" style="1" customWidth="1"/>
    <col min="2" max="2" width="15.42578125" style="1" customWidth="1"/>
    <col min="3" max="3" width="21.5703125" style="1" customWidth="1"/>
    <col min="4" max="4" width="42.28515625" style="1" customWidth="1"/>
    <col min="5" max="5" width="52.7109375" style="1" customWidth="1"/>
    <col min="6" max="7" width="5.7109375" style="1" customWidth="1"/>
    <col min="8" max="8" width="6.85546875" style="1" customWidth="1"/>
    <col min="9" max="9" width="33.28515625" style="1" customWidth="1"/>
    <col min="10" max="10" width="25.85546875" style="1" customWidth="1"/>
    <col min="11" max="16384" width="8.7109375" style="1"/>
  </cols>
  <sheetData>
    <row r="1" spans="1:10" ht="15" customHeight="1" x14ac:dyDescent="0.2">
      <c r="A1" s="165"/>
      <c r="B1" s="167"/>
      <c r="C1" s="168"/>
      <c r="D1" s="168"/>
      <c r="E1" s="168"/>
      <c r="F1" s="168"/>
      <c r="G1" s="168"/>
      <c r="H1" s="168"/>
      <c r="I1" s="168"/>
      <c r="J1" s="169"/>
    </row>
    <row r="2" spans="1:10" ht="18" x14ac:dyDescent="0.25">
      <c r="A2" s="165"/>
      <c r="B2" s="170" t="s">
        <v>191</v>
      </c>
      <c r="C2" s="171"/>
      <c r="D2" s="171"/>
      <c r="E2" s="171"/>
      <c r="F2" s="171"/>
      <c r="G2" s="171"/>
      <c r="H2" s="171"/>
      <c r="I2" s="171"/>
      <c r="J2" s="172"/>
    </row>
    <row r="3" spans="1:10" ht="15" customHeight="1" x14ac:dyDescent="0.2">
      <c r="A3" s="166"/>
      <c r="B3" s="166" t="s">
        <v>192</v>
      </c>
      <c r="C3" s="166"/>
      <c r="D3" s="173" t="s">
        <v>226</v>
      </c>
      <c r="E3" s="174"/>
      <c r="F3" s="174"/>
      <c r="G3" s="174"/>
      <c r="H3" s="174"/>
      <c r="I3" s="174"/>
      <c r="J3" s="175"/>
    </row>
    <row r="4" spans="1:10" ht="26.25" customHeight="1" x14ac:dyDescent="0.2">
      <c r="A4" s="176" t="s">
        <v>227</v>
      </c>
      <c r="B4" s="177"/>
      <c r="C4" s="178"/>
      <c r="D4" s="2"/>
      <c r="E4" s="3"/>
      <c r="F4" s="179" t="s">
        <v>225</v>
      </c>
      <c r="G4" s="180"/>
      <c r="H4" s="180"/>
      <c r="I4" s="180"/>
      <c r="J4" s="181"/>
    </row>
    <row r="5" spans="1:10" ht="51.75" customHeight="1" x14ac:dyDescent="0.2">
      <c r="A5" s="182" t="s">
        <v>229</v>
      </c>
      <c r="B5" s="183"/>
      <c r="C5" s="183"/>
      <c r="D5" s="183"/>
      <c r="E5" s="183"/>
      <c r="F5" s="183"/>
      <c r="G5" s="183"/>
      <c r="H5" s="183"/>
      <c r="I5" s="183"/>
      <c r="J5" s="183"/>
    </row>
    <row r="6" spans="1:10" ht="21" customHeight="1" x14ac:dyDescent="0.2">
      <c r="A6" s="184" t="s">
        <v>47</v>
      </c>
      <c r="B6" s="185"/>
      <c r="C6" s="185"/>
      <c r="D6" s="185"/>
      <c r="E6" s="185"/>
      <c r="F6" s="185"/>
      <c r="G6" s="185"/>
      <c r="H6" s="185"/>
      <c r="I6" s="185"/>
      <c r="J6" s="186"/>
    </row>
    <row r="7" spans="1:10" s="4" customFormat="1" ht="15" customHeight="1" x14ac:dyDescent="0.25">
      <c r="A7" s="187" t="s">
        <v>43</v>
      </c>
      <c r="B7" s="187"/>
      <c r="C7" s="187" t="s">
        <v>45</v>
      </c>
      <c r="D7" s="187"/>
      <c r="E7" s="187" t="s">
        <v>44</v>
      </c>
      <c r="F7" s="187"/>
      <c r="G7" s="187"/>
      <c r="H7" s="187" t="s">
        <v>46</v>
      </c>
      <c r="I7" s="187"/>
      <c r="J7" s="187"/>
    </row>
    <row r="8" spans="1:10" s="4" customFormat="1" ht="13.5" customHeight="1" x14ac:dyDescent="0.25">
      <c r="A8" s="188"/>
      <c r="B8" s="189"/>
      <c r="C8" s="189"/>
      <c r="D8" s="189"/>
      <c r="E8" s="189"/>
      <c r="F8" s="189"/>
      <c r="G8" s="189"/>
      <c r="H8" s="189"/>
      <c r="I8" s="189"/>
      <c r="J8" s="190"/>
    </row>
    <row r="9" spans="1:10" s="4" customFormat="1" ht="29.45" customHeight="1" x14ac:dyDescent="0.25">
      <c r="A9" s="191" t="s">
        <v>164</v>
      </c>
      <c r="B9" s="191"/>
      <c r="C9" s="192" t="s">
        <v>163</v>
      </c>
      <c r="D9" s="192"/>
      <c r="E9" s="193" t="s">
        <v>165</v>
      </c>
      <c r="F9" s="194"/>
      <c r="G9" s="195"/>
      <c r="H9" s="193" t="s">
        <v>172</v>
      </c>
      <c r="I9" s="194"/>
      <c r="J9" s="195"/>
    </row>
    <row r="10" spans="1:10" s="4" customFormat="1" ht="29.45" customHeight="1" x14ac:dyDescent="0.25">
      <c r="A10" s="192" t="s">
        <v>48</v>
      </c>
      <c r="B10" s="192"/>
      <c r="C10" s="192" t="s">
        <v>171</v>
      </c>
      <c r="D10" s="192"/>
      <c r="E10" s="196"/>
      <c r="F10" s="197"/>
      <c r="G10" s="198"/>
      <c r="H10" s="196"/>
      <c r="I10" s="197"/>
      <c r="J10" s="198"/>
    </row>
    <row r="11" spans="1:10" s="4" customFormat="1" ht="29.45" customHeight="1" x14ac:dyDescent="0.25">
      <c r="A11" s="192" t="s">
        <v>74</v>
      </c>
      <c r="B11" s="192"/>
      <c r="C11" s="192" t="s">
        <v>75</v>
      </c>
      <c r="D11" s="192"/>
      <c r="E11" s="196"/>
      <c r="F11" s="197"/>
      <c r="G11" s="198"/>
      <c r="H11" s="196"/>
      <c r="I11" s="197"/>
      <c r="J11" s="198"/>
    </row>
    <row r="12" spans="1:10" s="4" customFormat="1" ht="29.45" customHeight="1" x14ac:dyDescent="0.25">
      <c r="A12" s="202" t="s">
        <v>220</v>
      </c>
      <c r="B12" s="203"/>
      <c r="C12" s="202" t="s">
        <v>221</v>
      </c>
      <c r="D12" s="203"/>
      <c r="E12" s="196"/>
      <c r="F12" s="197"/>
      <c r="G12" s="198"/>
      <c r="H12" s="196"/>
      <c r="I12" s="197"/>
      <c r="J12" s="198"/>
    </row>
    <row r="13" spans="1:10" s="4" customFormat="1" ht="29.45" customHeight="1" x14ac:dyDescent="0.25">
      <c r="A13" s="202" t="s">
        <v>218</v>
      </c>
      <c r="B13" s="203"/>
      <c r="C13" s="202" t="s">
        <v>219</v>
      </c>
      <c r="D13" s="203"/>
      <c r="E13" s="196"/>
      <c r="F13" s="197"/>
      <c r="G13" s="198"/>
      <c r="H13" s="196"/>
      <c r="I13" s="197"/>
      <c r="J13" s="198"/>
    </row>
    <row r="14" spans="1:10" s="4" customFormat="1" ht="29.45" customHeight="1" x14ac:dyDescent="0.25">
      <c r="A14" s="192" t="s">
        <v>49</v>
      </c>
      <c r="B14" s="192"/>
      <c r="C14" s="192" t="s">
        <v>50</v>
      </c>
      <c r="D14" s="192"/>
      <c r="E14" s="196"/>
      <c r="F14" s="197"/>
      <c r="G14" s="198"/>
      <c r="H14" s="196"/>
      <c r="I14" s="197"/>
      <c r="J14" s="198"/>
    </row>
    <row r="15" spans="1:10" s="4" customFormat="1" ht="29.45" customHeight="1" x14ac:dyDescent="0.25">
      <c r="A15" s="192" t="s">
        <v>51</v>
      </c>
      <c r="B15" s="192"/>
      <c r="C15" s="192" t="s">
        <v>52</v>
      </c>
      <c r="D15" s="192"/>
      <c r="E15" s="196"/>
      <c r="F15" s="197"/>
      <c r="G15" s="198"/>
      <c r="H15" s="196"/>
      <c r="I15" s="197"/>
      <c r="J15" s="198"/>
    </row>
    <row r="16" spans="1:10" s="4" customFormat="1" ht="29.45" customHeight="1" x14ac:dyDescent="0.25">
      <c r="A16" s="192" t="s">
        <v>169</v>
      </c>
      <c r="B16" s="192"/>
      <c r="C16" s="192" t="s">
        <v>53</v>
      </c>
      <c r="D16" s="192"/>
      <c r="E16" s="196"/>
      <c r="F16" s="197"/>
      <c r="G16" s="198"/>
      <c r="H16" s="196"/>
      <c r="I16" s="197"/>
      <c r="J16" s="198"/>
    </row>
    <row r="17" spans="1:10" s="4" customFormat="1" ht="29.45" customHeight="1" x14ac:dyDescent="0.25">
      <c r="A17" s="192" t="s">
        <v>55</v>
      </c>
      <c r="B17" s="192"/>
      <c r="C17" s="192" t="s">
        <v>57</v>
      </c>
      <c r="D17" s="192"/>
      <c r="E17" s="196"/>
      <c r="F17" s="197"/>
      <c r="G17" s="198"/>
      <c r="H17" s="196"/>
      <c r="I17" s="197"/>
      <c r="J17" s="198"/>
    </row>
    <row r="18" spans="1:10" s="4" customFormat="1" ht="29.45" customHeight="1" x14ac:dyDescent="0.25">
      <c r="A18" s="192" t="s">
        <v>58</v>
      </c>
      <c r="B18" s="192"/>
      <c r="C18" s="192" t="s">
        <v>59</v>
      </c>
      <c r="D18" s="192"/>
      <c r="E18" s="196"/>
      <c r="F18" s="197"/>
      <c r="G18" s="198"/>
      <c r="H18" s="196"/>
      <c r="I18" s="197"/>
      <c r="J18" s="198"/>
    </row>
    <row r="19" spans="1:10" s="4" customFormat="1" ht="29.45" customHeight="1" x14ac:dyDescent="0.25">
      <c r="A19" s="192" t="s">
        <v>60</v>
      </c>
      <c r="B19" s="192"/>
      <c r="C19" s="192" t="s">
        <v>61</v>
      </c>
      <c r="D19" s="192"/>
      <c r="E19" s="196"/>
      <c r="F19" s="197"/>
      <c r="G19" s="198"/>
      <c r="H19" s="196"/>
      <c r="I19" s="197"/>
      <c r="J19" s="198"/>
    </row>
    <row r="20" spans="1:10" s="4" customFormat="1" ht="29.45" customHeight="1" x14ac:dyDescent="0.25">
      <c r="A20" s="202" t="s">
        <v>167</v>
      </c>
      <c r="B20" s="203"/>
      <c r="C20" s="204" t="s">
        <v>168</v>
      </c>
      <c r="D20" s="205"/>
      <c r="E20" s="196"/>
      <c r="F20" s="197"/>
      <c r="G20" s="198"/>
      <c r="H20" s="196"/>
      <c r="I20" s="197"/>
      <c r="J20" s="198"/>
    </row>
    <row r="21" spans="1:10" s="4" customFormat="1" ht="29.45" customHeight="1" x14ac:dyDescent="0.25">
      <c r="A21" s="192" t="s">
        <v>54</v>
      </c>
      <c r="B21" s="192"/>
      <c r="C21" s="192" t="s">
        <v>56</v>
      </c>
      <c r="D21" s="192"/>
      <c r="E21" s="196"/>
      <c r="F21" s="197"/>
      <c r="G21" s="198"/>
      <c r="H21" s="196"/>
      <c r="I21" s="197"/>
      <c r="J21" s="198"/>
    </row>
    <row r="22" spans="1:10" s="4" customFormat="1" ht="29.45" customHeight="1" x14ac:dyDescent="0.25">
      <c r="A22" s="192" t="s">
        <v>166</v>
      </c>
      <c r="B22" s="192"/>
      <c r="C22" s="192" t="s">
        <v>170</v>
      </c>
      <c r="D22" s="192"/>
      <c r="E22" s="196"/>
      <c r="F22" s="197"/>
      <c r="G22" s="198"/>
      <c r="H22" s="196"/>
      <c r="I22" s="197"/>
      <c r="J22" s="198"/>
    </row>
    <row r="23" spans="1:10" s="4" customFormat="1" ht="29.45" customHeight="1" x14ac:dyDescent="0.25">
      <c r="A23" s="192" t="s">
        <v>62</v>
      </c>
      <c r="B23" s="192"/>
      <c r="C23" s="192" t="s">
        <v>64</v>
      </c>
      <c r="D23" s="192"/>
      <c r="E23" s="196"/>
      <c r="F23" s="197"/>
      <c r="G23" s="198"/>
      <c r="H23" s="196"/>
      <c r="I23" s="197"/>
      <c r="J23" s="198"/>
    </row>
    <row r="24" spans="1:10" s="4" customFormat="1" ht="29.45" customHeight="1" x14ac:dyDescent="0.25">
      <c r="A24" s="192" t="s">
        <v>63</v>
      </c>
      <c r="B24" s="192"/>
      <c r="C24" s="192" t="s">
        <v>65</v>
      </c>
      <c r="D24" s="192"/>
      <c r="E24" s="199"/>
      <c r="F24" s="200"/>
      <c r="G24" s="201"/>
      <c r="H24" s="199"/>
      <c r="I24" s="200"/>
      <c r="J24" s="201"/>
    </row>
    <row r="25" spans="1:10" ht="27" customHeight="1" x14ac:dyDescent="0.2">
      <c r="A25" s="206" t="s">
        <v>217</v>
      </c>
      <c r="B25" s="206"/>
      <c r="C25" s="206"/>
      <c r="D25" s="206"/>
      <c r="E25" s="206"/>
      <c r="F25" s="206"/>
      <c r="G25" s="206"/>
      <c r="H25" s="206"/>
      <c r="I25" s="206"/>
      <c r="J25" s="206"/>
    </row>
    <row r="26" spans="1:10" ht="60" x14ac:dyDescent="0.2">
      <c r="A26" s="6" t="s">
        <v>0</v>
      </c>
      <c r="B26" s="6" t="s">
        <v>230</v>
      </c>
      <c r="C26" s="6" t="s">
        <v>231</v>
      </c>
      <c r="D26" s="6" t="s">
        <v>232</v>
      </c>
      <c r="E26" s="6" t="s">
        <v>233</v>
      </c>
      <c r="F26" s="6" t="s">
        <v>1</v>
      </c>
      <c r="G26" s="6" t="s">
        <v>2</v>
      </c>
      <c r="H26" s="6" t="s">
        <v>23</v>
      </c>
      <c r="I26" s="6" t="s">
        <v>234</v>
      </c>
      <c r="J26" s="6" t="s">
        <v>235</v>
      </c>
    </row>
    <row r="27" spans="1:10" ht="26.25" customHeight="1" x14ac:dyDescent="0.2">
      <c r="A27" s="7"/>
      <c r="B27" s="8" t="s">
        <v>66</v>
      </c>
      <c r="C27" s="8" t="s">
        <v>173</v>
      </c>
      <c r="D27" s="5" t="s">
        <v>174</v>
      </c>
      <c r="E27" s="5" t="s">
        <v>177</v>
      </c>
      <c r="F27" s="9">
        <v>1</v>
      </c>
      <c r="G27" s="9">
        <v>5</v>
      </c>
      <c r="H27" s="9">
        <f t="shared" ref="H27:H72" si="0">F27*G27</f>
        <v>5</v>
      </c>
      <c r="I27" s="5" t="s">
        <v>179</v>
      </c>
      <c r="J27" s="207" t="s">
        <v>162</v>
      </c>
    </row>
    <row r="28" spans="1:10" ht="26.25" customHeight="1" x14ac:dyDescent="0.2">
      <c r="A28" s="10"/>
      <c r="B28" s="11"/>
      <c r="C28" s="11"/>
      <c r="D28" s="5" t="s">
        <v>175</v>
      </c>
      <c r="E28" s="5" t="s">
        <v>178</v>
      </c>
      <c r="F28" s="9">
        <v>1</v>
      </c>
      <c r="G28" s="9">
        <v>5</v>
      </c>
      <c r="H28" s="9">
        <f t="shared" si="0"/>
        <v>5</v>
      </c>
      <c r="I28" s="5" t="s">
        <v>179</v>
      </c>
      <c r="J28" s="208"/>
    </row>
    <row r="29" spans="1:10" ht="26.25" customHeight="1" x14ac:dyDescent="0.2">
      <c r="A29" s="10"/>
      <c r="B29" s="11"/>
      <c r="C29" s="11"/>
      <c r="D29" s="5" t="s">
        <v>222</v>
      </c>
      <c r="E29" s="5" t="s">
        <v>223</v>
      </c>
      <c r="F29" s="9">
        <v>2</v>
      </c>
      <c r="G29" s="9">
        <v>5</v>
      </c>
      <c r="H29" s="9">
        <f t="shared" si="0"/>
        <v>10</v>
      </c>
      <c r="I29" s="5" t="s">
        <v>224</v>
      </c>
      <c r="J29" s="208"/>
    </row>
    <row r="30" spans="1:10" s="14" customFormat="1" ht="26.25" customHeight="1" x14ac:dyDescent="0.2">
      <c r="A30" s="12"/>
      <c r="B30" s="13"/>
      <c r="C30" s="13"/>
      <c r="D30" s="5" t="s">
        <v>176</v>
      </c>
      <c r="E30" s="5" t="s">
        <v>178</v>
      </c>
      <c r="F30" s="9">
        <v>1</v>
      </c>
      <c r="G30" s="9">
        <v>5</v>
      </c>
      <c r="H30" s="9">
        <f t="shared" si="0"/>
        <v>5</v>
      </c>
      <c r="I30" s="5" t="s">
        <v>179</v>
      </c>
      <c r="J30" s="208"/>
    </row>
    <row r="31" spans="1:10" ht="26.25" customHeight="1" x14ac:dyDescent="0.2">
      <c r="A31" s="10"/>
      <c r="B31" s="11"/>
      <c r="C31" s="11"/>
      <c r="D31" s="15" t="s">
        <v>181</v>
      </c>
      <c r="E31" s="15" t="s">
        <v>184</v>
      </c>
      <c r="F31" s="16">
        <v>1</v>
      </c>
      <c r="G31" s="16">
        <v>5</v>
      </c>
      <c r="H31" s="9">
        <f t="shared" si="0"/>
        <v>5</v>
      </c>
      <c r="I31" s="15" t="s">
        <v>79</v>
      </c>
      <c r="J31" s="208"/>
    </row>
    <row r="32" spans="1:10" ht="26.25" customHeight="1" x14ac:dyDescent="0.2">
      <c r="A32" s="10"/>
      <c r="B32" s="11"/>
      <c r="C32" s="11"/>
      <c r="D32" s="15" t="s">
        <v>189</v>
      </c>
      <c r="E32" s="15" t="s">
        <v>190</v>
      </c>
      <c r="F32" s="16">
        <v>3</v>
      </c>
      <c r="G32" s="16">
        <v>5</v>
      </c>
      <c r="H32" s="9">
        <f t="shared" si="0"/>
        <v>15</v>
      </c>
      <c r="I32" s="15" t="s">
        <v>204</v>
      </c>
      <c r="J32" s="208"/>
    </row>
    <row r="33" spans="1:10" ht="26.25" customHeight="1" x14ac:dyDescent="0.2">
      <c r="A33" s="10"/>
      <c r="B33" s="11" t="s">
        <v>180</v>
      </c>
      <c r="C33" s="11" t="s">
        <v>203</v>
      </c>
      <c r="D33" s="5" t="s">
        <v>182</v>
      </c>
      <c r="E33" s="5" t="s">
        <v>187</v>
      </c>
      <c r="F33" s="9">
        <v>2</v>
      </c>
      <c r="G33" s="9">
        <v>5</v>
      </c>
      <c r="H33" s="9">
        <f t="shared" si="0"/>
        <v>10</v>
      </c>
      <c r="I33" s="5" t="s">
        <v>80</v>
      </c>
      <c r="J33" s="208"/>
    </row>
    <row r="34" spans="1:10" ht="26.25" customHeight="1" x14ac:dyDescent="0.2">
      <c r="A34" s="10"/>
      <c r="B34" s="11"/>
      <c r="C34" s="11"/>
      <c r="D34" s="5" t="s">
        <v>183</v>
      </c>
      <c r="E34" s="5" t="s">
        <v>188</v>
      </c>
      <c r="F34" s="9">
        <v>1</v>
      </c>
      <c r="G34" s="9">
        <v>5</v>
      </c>
      <c r="H34" s="9">
        <f t="shared" si="0"/>
        <v>5</v>
      </c>
      <c r="I34" s="5" t="s">
        <v>97</v>
      </c>
      <c r="J34" s="208"/>
    </row>
    <row r="35" spans="1:10" ht="26.25" customHeight="1" x14ac:dyDescent="0.2">
      <c r="A35" s="10"/>
      <c r="B35" s="11"/>
      <c r="C35" s="11"/>
      <c r="D35" s="5" t="s">
        <v>186</v>
      </c>
      <c r="E35" s="5" t="s">
        <v>187</v>
      </c>
      <c r="F35" s="9">
        <v>2</v>
      </c>
      <c r="G35" s="9">
        <v>5</v>
      </c>
      <c r="H35" s="9">
        <f t="shared" si="0"/>
        <v>10</v>
      </c>
      <c r="I35" s="5" t="s">
        <v>205</v>
      </c>
      <c r="J35" s="208"/>
    </row>
    <row r="36" spans="1:10" ht="26.25" customHeight="1" x14ac:dyDescent="0.2">
      <c r="A36" s="12"/>
      <c r="B36" s="13"/>
      <c r="C36" s="13"/>
      <c r="D36" s="5" t="s">
        <v>185</v>
      </c>
      <c r="E36" s="5" t="s">
        <v>187</v>
      </c>
      <c r="F36" s="9">
        <v>3</v>
      </c>
      <c r="G36" s="9">
        <v>3</v>
      </c>
      <c r="H36" s="9">
        <f t="shared" si="0"/>
        <v>9</v>
      </c>
      <c r="I36" s="5" t="s">
        <v>96</v>
      </c>
      <c r="J36" s="208"/>
    </row>
    <row r="37" spans="1:10" ht="26.25" customHeight="1" x14ac:dyDescent="0.2">
      <c r="A37" s="10"/>
      <c r="B37" s="8"/>
      <c r="C37" s="207" t="s">
        <v>70</v>
      </c>
      <c r="D37" s="5" t="s">
        <v>77</v>
      </c>
      <c r="E37" s="5" t="s">
        <v>95</v>
      </c>
      <c r="F37" s="9">
        <v>3</v>
      </c>
      <c r="G37" s="9">
        <v>3</v>
      </c>
      <c r="H37" s="9">
        <f t="shared" si="0"/>
        <v>9</v>
      </c>
      <c r="I37" s="5" t="s">
        <v>99</v>
      </c>
      <c r="J37" s="208"/>
    </row>
    <row r="38" spans="1:10" ht="26.25" customHeight="1" x14ac:dyDescent="0.2">
      <c r="A38" s="10"/>
      <c r="B38" s="11" t="s">
        <v>67</v>
      </c>
      <c r="C38" s="208"/>
      <c r="D38" s="5" t="s">
        <v>76</v>
      </c>
      <c r="E38" s="5" t="s">
        <v>89</v>
      </c>
      <c r="F38" s="9">
        <v>3</v>
      </c>
      <c r="G38" s="9">
        <v>3</v>
      </c>
      <c r="H38" s="9">
        <f t="shared" si="0"/>
        <v>9</v>
      </c>
      <c r="I38" s="5" t="s">
        <v>78</v>
      </c>
      <c r="J38" s="208"/>
    </row>
    <row r="39" spans="1:10" s="14" customFormat="1" ht="26.25" customHeight="1" x14ac:dyDescent="0.2">
      <c r="A39" s="12"/>
      <c r="B39" s="13"/>
      <c r="C39" s="209"/>
      <c r="D39" s="5" t="s">
        <v>84</v>
      </c>
      <c r="E39" s="5" t="s">
        <v>93</v>
      </c>
      <c r="F39" s="9">
        <v>3</v>
      </c>
      <c r="G39" s="9">
        <v>3</v>
      </c>
      <c r="H39" s="9">
        <f t="shared" si="0"/>
        <v>9</v>
      </c>
      <c r="I39" s="5" t="s">
        <v>98</v>
      </c>
      <c r="J39" s="208"/>
    </row>
    <row r="40" spans="1:10" ht="26.25" customHeight="1" x14ac:dyDescent="0.2">
      <c r="A40" s="10"/>
      <c r="B40" s="11"/>
      <c r="C40" s="207" t="s">
        <v>206</v>
      </c>
      <c r="D40" s="5" t="s">
        <v>85</v>
      </c>
      <c r="E40" s="5" t="s">
        <v>90</v>
      </c>
      <c r="F40" s="9">
        <v>3</v>
      </c>
      <c r="G40" s="9">
        <v>3</v>
      </c>
      <c r="H40" s="9">
        <f t="shared" si="0"/>
        <v>9</v>
      </c>
      <c r="I40" s="5" t="s">
        <v>99</v>
      </c>
      <c r="J40" s="208"/>
    </row>
    <row r="41" spans="1:10" ht="26.25" customHeight="1" x14ac:dyDescent="0.2">
      <c r="A41" s="10"/>
      <c r="B41" s="11" t="s">
        <v>66</v>
      </c>
      <c r="C41" s="208"/>
      <c r="D41" s="5" t="s">
        <v>86</v>
      </c>
      <c r="E41" s="5" t="s">
        <v>91</v>
      </c>
      <c r="F41" s="9">
        <v>3</v>
      </c>
      <c r="G41" s="9">
        <v>3</v>
      </c>
      <c r="H41" s="9">
        <f t="shared" si="0"/>
        <v>9</v>
      </c>
      <c r="I41" s="5" t="s">
        <v>100</v>
      </c>
      <c r="J41" s="208"/>
    </row>
    <row r="42" spans="1:10" ht="26.25" customHeight="1" x14ac:dyDescent="0.2">
      <c r="A42" s="10"/>
      <c r="B42" s="11"/>
      <c r="C42" s="208"/>
      <c r="D42" s="5" t="s">
        <v>88</v>
      </c>
      <c r="E42" s="5" t="s">
        <v>94</v>
      </c>
      <c r="F42" s="9">
        <v>3</v>
      </c>
      <c r="G42" s="9">
        <v>3</v>
      </c>
      <c r="H42" s="9">
        <f t="shared" si="0"/>
        <v>9</v>
      </c>
      <c r="I42" s="5" t="s">
        <v>101</v>
      </c>
      <c r="J42" s="208"/>
    </row>
    <row r="43" spans="1:10" ht="26.25" customHeight="1" x14ac:dyDescent="0.2">
      <c r="A43" s="12"/>
      <c r="B43" s="13"/>
      <c r="C43" s="209"/>
      <c r="D43" s="5" t="s">
        <v>87</v>
      </c>
      <c r="E43" s="5" t="s">
        <v>92</v>
      </c>
      <c r="F43" s="9">
        <v>3</v>
      </c>
      <c r="G43" s="9">
        <v>3</v>
      </c>
      <c r="H43" s="9">
        <f t="shared" si="0"/>
        <v>9</v>
      </c>
      <c r="I43" s="5" t="s">
        <v>102</v>
      </c>
      <c r="J43" s="208"/>
    </row>
    <row r="44" spans="1:10" ht="26.25" customHeight="1" x14ac:dyDescent="0.2">
      <c r="A44" s="10"/>
      <c r="B44" s="8" t="s">
        <v>67</v>
      </c>
      <c r="C44" s="207" t="s">
        <v>69</v>
      </c>
      <c r="D44" s="5" t="s">
        <v>77</v>
      </c>
      <c r="E44" s="5" t="s">
        <v>95</v>
      </c>
      <c r="F44" s="9">
        <v>2</v>
      </c>
      <c r="G44" s="9">
        <v>2</v>
      </c>
      <c r="H44" s="9">
        <f t="shared" si="0"/>
        <v>4</v>
      </c>
      <c r="I44" s="5" t="s">
        <v>100</v>
      </c>
      <c r="J44" s="208"/>
    </row>
    <row r="45" spans="1:10" ht="26.25" customHeight="1" x14ac:dyDescent="0.2">
      <c r="A45" s="10"/>
      <c r="B45" s="11"/>
      <c r="C45" s="208"/>
      <c r="D45" s="5" t="s">
        <v>76</v>
      </c>
      <c r="E45" s="5" t="s">
        <v>89</v>
      </c>
      <c r="F45" s="9">
        <v>2</v>
      </c>
      <c r="G45" s="9">
        <v>2</v>
      </c>
      <c r="H45" s="9">
        <f t="shared" si="0"/>
        <v>4</v>
      </c>
      <c r="I45" s="5" t="s">
        <v>78</v>
      </c>
      <c r="J45" s="208"/>
    </row>
    <row r="46" spans="1:10" ht="26.25" customHeight="1" x14ac:dyDescent="0.2">
      <c r="A46" s="10"/>
      <c r="B46" s="11"/>
      <c r="C46" s="208"/>
      <c r="D46" s="5" t="s">
        <v>109</v>
      </c>
      <c r="E46" s="5" t="s">
        <v>114</v>
      </c>
      <c r="F46" s="9">
        <v>2</v>
      </c>
      <c r="G46" s="9">
        <v>2</v>
      </c>
      <c r="H46" s="9">
        <f t="shared" si="0"/>
        <v>4</v>
      </c>
      <c r="I46" s="5" t="s">
        <v>136</v>
      </c>
      <c r="J46" s="208"/>
    </row>
    <row r="47" spans="1:10" s="14" customFormat="1" ht="26.25" customHeight="1" x14ac:dyDescent="0.2">
      <c r="A47" s="12"/>
      <c r="B47" s="11"/>
      <c r="C47" s="208"/>
      <c r="D47" s="15" t="s">
        <v>121</v>
      </c>
      <c r="E47" s="15" t="s">
        <v>122</v>
      </c>
      <c r="F47" s="16">
        <v>2</v>
      </c>
      <c r="G47" s="16">
        <v>2</v>
      </c>
      <c r="H47" s="9">
        <f t="shared" si="0"/>
        <v>4</v>
      </c>
      <c r="I47" s="15" t="s">
        <v>137</v>
      </c>
      <c r="J47" s="208"/>
    </row>
    <row r="48" spans="1:10" ht="26.25" customHeight="1" x14ac:dyDescent="0.2">
      <c r="A48" s="10"/>
      <c r="B48" s="8"/>
      <c r="C48" s="8"/>
      <c r="D48" s="5" t="s">
        <v>120</v>
      </c>
      <c r="E48" s="5" t="s">
        <v>138</v>
      </c>
      <c r="F48" s="9">
        <v>2</v>
      </c>
      <c r="G48" s="9">
        <v>2</v>
      </c>
      <c r="H48" s="9">
        <f t="shared" si="0"/>
        <v>4</v>
      </c>
      <c r="I48" s="5" t="s">
        <v>100</v>
      </c>
      <c r="J48" s="208"/>
    </row>
    <row r="49" spans="1:10" ht="26.25" customHeight="1" x14ac:dyDescent="0.2">
      <c r="A49" s="10"/>
      <c r="B49" s="11" t="s">
        <v>207</v>
      </c>
      <c r="C49" s="11" t="s">
        <v>208</v>
      </c>
      <c r="D49" s="5" t="s">
        <v>123</v>
      </c>
      <c r="E49" s="5" t="s">
        <v>124</v>
      </c>
      <c r="F49" s="9">
        <v>3</v>
      </c>
      <c r="G49" s="9">
        <v>3</v>
      </c>
      <c r="H49" s="9">
        <f t="shared" si="0"/>
        <v>9</v>
      </c>
      <c r="I49" s="5" t="s">
        <v>100</v>
      </c>
      <c r="J49" s="208"/>
    </row>
    <row r="50" spans="1:10" ht="26.25" customHeight="1" x14ac:dyDescent="0.2">
      <c r="A50" s="12"/>
      <c r="B50" s="13"/>
      <c r="C50" s="13"/>
      <c r="D50" s="5" t="s">
        <v>125</v>
      </c>
      <c r="E50" s="5" t="s">
        <v>126</v>
      </c>
      <c r="F50" s="9">
        <v>3</v>
      </c>
      <c r="G50" s="9">
        <v>3</v>
      </c>
      <c r="H50" s="9">
        <f t="shared" si="0"/>
        <v>9</v>
      </c>
      <c r="I50" s="5" t="s">
        <v>100</v>
      </c>
      <c r="J50" s="208"/>
    </row>
    <row r="51" spans="1:10" ht="26.25" customHeight="1" x14ac:dyDescent="0.2">
      <c r="A51" s="10"/>
      <c r="B51" s="11"/>
      <c r="C51" s="11"/>
      <c r="D51" s="15" t="s">
        <v>140</v>
      </c>
      <c r="E51" s="15" t="s">
        <v>139</v>
      </c>
      <c r="F51" s="16">
        <v>3</v>
      </c>
      <c r="G51" s="16">
        <v>3</v>
      </c>
      <c r="H51" s="9">
        <f t="shared" si="0"/>
        <v>9</v>
      </c>
      <c r="I51" s="15" t="s">
        <v>141</v>
      </c>
      <c r="J51" s="208"/>
    </row>
    <row r="52" spans="1:10" ht="26.25" customHeight="1" x14ac:dyDescent="0.2">
      <c r="A52" s="10"/>
      <c r="B52" s="11" t="s">
        <v>209</v>
      </c>
      <c r="C52" s="11" t="s">
        <v>210</v>
      </c>
      <c r="D52" s="5" t="s">
        <v>86</v>
      </c>
      <c r="E52" s="5" t="s">
        <v>91</v>
      </c>
      <c r="F52" s="9">
        <v>3</v>
      </c>
      <c r="G52" s="9">
        <v>3</v>
      </c>
      <c r="H52" s="9">
        <f t="shared" si="0"/>
        <v>9</v>
      </c>
      <c r="I52" s="5" t="s">
        <v>100</v>
      </c>
      <c r="J52" s="208"/>
    </row>
    <row r="53" spans="1:10" ht="26.25" customHeight="1" x14ac:dyDescent="0.2">
      <c r="A53" s="10"/>
      <c r="B53" s="11"/>
      <c r="C53" s="11"/>
      <c r="D53" s="5" t="s">
        <v>142</v>
      </c>
      <c r="E53" s="5" t="s">
        <v>131</v>
      </c>
      <c r="F53" s="9">
        <v>3</v>
      </c>
      <c r="G53" s="9">
        <v>3</v>
      </c>
      <c r="H53" s="9">
        <f t="shared" si="0"/>
        <v>9</v>
      </c>
      <c r="I53" s="5" t="s">
        <v>143</v>
      </c>
      <c r="J53" s="208"/>
    </row>
    <row r="54" spans="1:10" s="14" customFormat="1" ht="26.25" customHeight="1" x14ac:dyDescent="0.2">
      <c r="A54" s="12"/>
      <c r="B54" s="13"/>
      <c r="C54" s="13"/>
      <c r="D54" s="5" t="s">
        <v>127</v>
      </c>
      <c r="E54" s="5" t="s">
        <v>132</v>
      </c>
      <c r="F54" s="9">
        <v>3</v>
      </c>
      <c r="G54" s="9">
        <v>3</v>
      </c>
      <c r="H54" s="9">
        <f t="shared" si="0"/>
        <v>9</v>
      </c>
      <c r="I54" s="5" t="s">
        <v>144</v>
      </c>
      <c r="J54" s="208"/>
    </row>
    <row r="55" spans="1:10" ht="26.25" customHeight="1" x14ac:dyDescent="0.2">
      <c r="A55" s="10"/>
      <c r="B55" s="207" t="s">
        <v>211</v>
      </c>
      <c r="C55" s="207" t="s">
        <v>212</v>
      </c>
      <c r="D55" s="15" t="s">
        <v>128</v>
      </c>
      <c r="E55" s="15" t="s">
        <v>133</v>
      </c>
      <c r="F55" s="16">
        <v>3</v>
      </c>
      <c r="G55" s="16">
        <v>3</v>
      </c>
      <c r="H55" s="9">
        <f t="shared" si="0"/>
        <v>9</v>
      </c>
      <c r="I55" s="15" t="s">
        <v>145</v>
      </c>
      <c r="J55" s="208"/>
    </row>
    <row r="56" spans="1:10" ht="26.25" customHeight="1" x14ac:dyDescent="0.2">
      <c r="A56" s="10"/>
      <c r="B56" s="208"/>
      <c r="C56" s="208"/>
      <c r="D56" s="5" t="s">
        <v>129</v>
      </c>
      <c r="E56" s="5" t="s">
        <v>134</v>
      </c>
      <c r="F56" s="9">
        <v>3</v>
      </c>
      <c r="G56" s="9">
        <v>3</v>
      </c>
      <c r="H56" s="9">
        <f t="shared" si="0"/>
        <v>9</v>
      </c>
      <c r="I56" s="5" t="s">
        <v>146</v>
      </c>
      <c r="J56" s="208"/>
    </row>
    <row r="57" spans="1:10" ht="30" x14ac:dyDescent="0.2">
      <c r="A57" s="10"/>
      <c r="B57" s="208"/>
      <c r="C57" s="208"/>
      <c r="D57" s="5" t="s">
        <v>130</v>
      </c>
      <c r="E57" s="5" t="s">
        <v>135</v>
      </c>
      <c r="F57" s="9">
        <v>3</v>
      </c>
      <c r="G57" s="9">
        <v>3</v>
      </c>
      <c r="H57" s="9">
        <f t="shared" si="0"/>
        <v>9</v>
      </c>
      <c r="I57" s="5" t="s">
        <v>147</v>
      </c>
      <c r="J57" s="208"/>
    </row>
    <row r="58" spans="1:10" ht="26.25" customHeight="1" x14ac:dyDescent="0.2">
      <c r="A58" s="10"/>
      <c r="B58" s="208"/>
      <c r="C58" s="208"/>
      <c r="D58" s="5" t="s">
        <v>83</v>
      </c>
      <c r="E58" s="5" t="s">
        <v>81</v>
      </c>
      <c r="F58" s="9">
        <v>3</v>
      </c>
      <c r="G58" s="9">
        <v>3</v>
      </c>
      <c r="H58" s="9">
        <f t="shared" si="0"/>
        <v>9</v>
      </c>
      <c r="I58" s="5" t="s">
        <v>82</v>
      </c>
      <c r="J58" s="208"/>
    </row>
    <row r="59" spans="1:10" ht="26.25" customHeight="1" x14ac:dyDescent="0.2">
      <c r="A59" s="10"/>
      <c r="B59" s="208"/>
      <c r="C59" s="208"/>
      <c r="D59" s="5" t="s">
        <v>108</v>
      </c>
      <c r="E59" s="5" t="s">
        <v>110</v>
      </c>
      <c r="F59" s="9">
        <v>3</v>
      </c>
      <c r="G59" s="9">
        <v>3</v>
      </c>
      <c r="H59" s="9">
        <f t="shared" si="0"/>
        <v>9</v>
      </c>
      <c r="I59" s="5" t="s">
        <v>148</v>
      </c>
      <c r="J59" s="208"/>
    </row>
    <row r="60" spans="1:10" ht="26.25" customHeight="1" x14ac:dyDescent="0.2">
      <c r="A60" s="10"/>
      <c r="B60" s="208"/>
      <c r="C60" s="208"/>
      <c r="D60" s="5" t="s">
        <v>84</v>
      </c>
      <c r="E60" s="5" t="s">
        <v>93</v>
      </c>
      <c r="F60" s="9">
        <v>3</v>
      </c>
      <c r="G60" s="9">
        <v>3</v>
      </c>
      <c r="H60" s="9">
        <f t="shared" si="0"/>
        <v>9</v>
      </c>
      <c r="I60" s="5" t="s">
        <v>149</v>
      </c>
      <c r="J60" s="208"/>
    </row>
    <row r="61" spans="1:10" ht="26.25" customHeight="1" x14ac:dyDescent="0.2">
      <c r="A61" s="10"/>
      <c r="B61" s="208"/>
      <c r="C61" s="208"/>
      <c r="D61" s="5" t="s">
        <v>107</v>
      </c>
      <c r="E61" s="5" t="s">
        <v>111</v>
      </c>
      <c r="F61" s="9">
        <v>3</v>
      </c>
      <c r="G61" s="9">
        <v>3</v>
      </c>
      <c r="H61" s="9">
        <f t="shared" si="0"/>
        <v>9</v>
      </c>
      <c r="I61" s="5" t="s">
        <v>100</v>
      </c>
      <c r="J61" s="208"/>
    </row>
    <row r="62" spans="1:10" ht="26.25" customHeight="1" x14ac:dyDescent="0.2">
      <c r="A62" s="10"/>
      <c r="B62" s="208"/>
      <c r="C62" s="208"/>
      <c r="D62" s="5" t="s">
        <v>106</v>
      </c>
      <c r="E62" s="5" t="s">
        <v>112</v>
      </c>
      <c r="F62" s="9">
        <v>3</v>
      </c>
      <c r="G62" s="9">
        <v>3</v>
      </c>
      <c r="H62" s="9">
        <f t="shared" si="0"/>
        <v>9</v>
      </c>
      <c r="I62" s="5" t="s">
        <v>150</v>
      </c>
      <c r="J62" s="208"/>
    </row>
    <row r="63" spans="1:10" ht="26.25" customHeight="1" x14ac:dyDescent="0.2">
      <c r="A63" s="10"/>
      <c r="B63" s="208"/>
      <c r="C63" s="208"/>
      <c r="D63" s="5" t="s">
        <v>113</v>
      </c>
      <c r="E63" s="5" t="s">
        <v>115</v>
      </c>
      <c r="F63" s="9">
        <v>3</v>
      </c>
      <c r="G63" s="9">
        <v>3</v>
      </c>
      <c r="H63" s="9">
        <f t="shared" si="0"/>
        <v>9</v>
      </c>
      <c r="I63" s="5" t="s">
        <v>151</v>
      </c>
      <c r="J63" s="208"/>
    </row>
    <row r="64" spans="1:10" ht="26.25" customHeight="1" x14ac:dyDescent="0.2">
      <c r="A64" s="10"/>
      <c r="B64" s="208"/>
      <c r="C64" s="208"/>
      <c r="D64" s="5" t="s">
        <v>87</v>
      </c>
      <c r="E64" s="5" t="s">
        <v>92</v>
      </c>
      <c r="F64" s="9">
        <v>3</v>
      </c>
      <c r="G64" s="9">
        <v>3</v>
      </c>
      <c r="H64" s="9">
        <f t="shared" si="0"/>
        <v>9</v>
      </c>
      <c r="I64" s="5" t="s">
        <v>152</v>
      </c>
      <c r="J64" s="208"/>
    </row>
    <row r="65" spans="1:10" ht="26.25" customHeight="1" x14ac:dyDescent="0.2">
      <c r="A65" s="10"/>
      <c r="B65" s="208"/>
      <c r="C65" s="208"/>
      <c r="D65" s="5" t="s">
        <v>105</v>
      </c>
      <c r="E65" s="5" t="s">
        <v>118</v>
      </c>
      <c r="F65" s="9">
        <v>3</v>
      </c>
      <c r="G65" s="9">
        <v>3</v>
      </c>
      <c r="H65" s="9">
        <f t="shared" si="0"/>
        <v>9</v>
      </c>
      <c r="I65" s="5" t="s">
        <v>153</v>
      </c>
      <c r="J65" s="208"/>
    </row>
    <row r="66" spans="1:10" ht="26.25" customHeight="1" x14ac:dyDescent="0.2">
      <c r="A66" s="10"/>
      <c r="B66" s="208"/>
      <c r="C66" s="208"/>
      <c r="D66" s="5" t="s">
        <v>104</v>
      </c>
      <c r="E66" s="5" t="s">
        <v>116</v>
      </c>
      <c r="F66" s="9">
        <v>3</v>
      </c>
      <c r="G66" s="9">
        <v>3</v>
      </c>
      <c r="H66" s="9">
        <f t="shared" si="0"/>
        <v>9</v>
      </c>
      <c r="I66" s="5" t="s">
        <v>154</v>
      </c>
      <c r="J66" s="208"/>
    </row>
    <row r="67" spans="1:10" ht="26.25" customHeight="1" x14ac:dyDescent="0.2">
      <c r="A67" s="10"/>
      <c r="B67" s="208"/>
      <c r="C67" s="208"/>
      <c r="D67" s="5" t="s">
        <v>117</v>
      </c>
      <c r="E67" s="5" t="s">
        <v>116</v>
      </c>
      <c r="F67" s="9">
        <v>3</v>
      </c>
      <c r="G67" s="9">
        <v>3</v>
      </c>
      <c r="H67" s="9">
        <f t="shared" si="0"/>
        <v>9</v>
      </c>
      <c r="I67" s="5" t="s">
        <v>155</v>
      </c>
      <c r="J67" s="208"/>
    </row>
    <row r="68" spans="1:10" ht="26.25" customHeight="1" x14ac:dyDescent="0.2">
      <c r="A68" s="12"/>
      <c r="B68" s="209"/>
      <c r="C68" s="209"/>
      <c r="D68" s="5" t="s">
        <v>103</v>
      </c>
      <c r="E68" s="5" t="s">
        <v>119</v>
      </c>
      <c r="F68" s="9">
        <v>3</v>
      </c>
      <c r="G68" s="9">
        <v>3</v>
      </c>
      <c r="H68" s="9">
        <f t="shared" si="0"/>
        <v>9</v>
      </c>
      <c r="I68" s="5" t="s">
        <v>156</v>
      </c>
      <c r="J68" s="208"/>
    </row>
    <row r="69" spans="1:10" ht="26.25" customHeight="1" x14ac:dyDescent="0.2">
      <c r="A69" s="210"/>
      <c r="B69" s="8" t="s">
        <v>68</v>
      </c>
      <c r="C69" s="8" t="s">
        <v>71</v>
      </c>
      <c r="D69" s="5" t="s">
        <v>195</v>
      </c>
      <c r="E69" s="5" t="s">
        <v>196</v>
      </c>
      <c r="F69" s="9">
        <v>1</v>
      </c>
      <c r="G69" s="9">
        <v>4</v>
      </c>
      <c r="H69" s="9">
        <f t="shared" si="0"/>
        <v>4</v>
      </c>
      <c r="I69" s="5" t="s">
        <v>213</v>
      </c>
      <c r="J69" s="208"/>
    </row>
    <row r="70" spans="1:10" ht="26.25" customHeight="1" x14ac:dyDescent="0.2">
      <c r="A70" s="210"/>
      <c r="B70" s="11"/>
      <c r="C70" s="11"/>
      <c r="D70" s="5" t="s">
        <v>197</v>
      </c>
      <c r="E70" s="5" t="s">
        <v>90</v>
      </c>
      <c r="F70" s="9">
        <v>2</v>
      </c>
      <c r="G70" s="9">
        <v>4</v>
      </c>
      <c r="H70" s="9">
        <f t="shared" si="0"/>
        <v>8</v>
      </c>
      <c r="I70" s="5" t="s">
        <v>214</v>
      </c>
      <c r="J70" s="208"/>
    </row>
    <row r="71" spans="1:10" ht="26.25" customHeight="1" x14ac:dyDescent="0.2">
      <c r="A71" s="210"/>
      <c r="B71" s="11"/>
      <c r="C71" s="11"/>
      <c r="D71" s="17" t="s">
        <v>198</v>
      </c>
      <c r="E71" s="5" t="s">
        <v>199</v>
      </c>
      <c r="F71" s="9">
        <v>1</v>
      </c>
      <c r="G71" s="9">
        <v>3</v>
      </c>
      <c r="H71" s="9">
        <f t="shared" si="0"/>
        <v>3</v>
      </c>
      <c r="I71" s="5" t="s">
        <v>215</v>
      </c>
      <c r="J71" s="208"/>
    </row>
    <row r="72" spans="1:10" ht="26.25" customHeight="1" x14ac:dyDescent="0.2">
      <c r="A72" s="210"/>
      <c r="B72" s="11"/>
      <c r="C72" s="11"/>
      <c r="D72" s="5" t="s">
        <v>201</v>
      </c>
      <c r="E72" s="5" t="s">
        <v>200</v>
      </c>
      <c r="F72" s="9">
        <v>1</v>
      </c>
      <c r="G72" s="9">
        <v>3</v>
      </c>
      <c r="H72" s="9">
        <f t="shared" si="0"/>
        <v>3</v>
      </c>
      <c r="I72" s="5" t="s">
        <v>216</v>
      </c>
      <c r="J72" s="208"/>
    </row>
    <row r="73" spans="1:10" ht="18" customHeight="1" x14ac:dyDescent="0.2">
      <c r="A73" s="211" t="s">
        <v>202</v>
      </c>
      <c r="B73" s="212"/>
      <c r="C73" s="212"/>
      <c r="D73" s="212"/>
      <c r="E73" s="212"/>
      <c r="F73" s="212"/>
      <c r="G73" s="212"/>
      <c r="H73" s="212"/>
      <c r="I73" s="212"/>
      <c r="J73" s="213"/>
    </row>
    <row r="74" spans="1:10" x14ac:dyDescent="0.2">
      <c r="A74" s="18" t="s">
        <v>194</v>
      </c>
      <c r="B74" s="18" t="s">
        <v>193</v>
      </c>
      <c r="C74" s="19"/>
      <c r="J74" s="20"/>
    </row>
    <row r="75" spans="1:10" x14ac:dyDescent="0.2">
      <c r="A75" s="214" t="s">
        <v>13</v>
      </c>
      <c r="B75" s="214"/>
      <c r="C75" s="214"/>
      <c r="D75" s="214"/>
      <c r="E75" s="214" t="s">
        <v>19</v>
      </c>
      <c r="F75" s="214"/>
      <c r="G75" s="214"/>
      <c r="H75" s="214"/>
      <c r="I75" s="214"/>
      <c r="J75" s="214"/>
    </row>
    <row r="76" spans="1:10" x14ac:dyDescent="0.2">
      <c r="A76" s="21" t="s">
        <v>3</v>
      </c>
      <c r="B76" s="9">
        <v>1</v>
      </c>
      <c r="C76" s="215" t="s">
        <v>4</v>
      </c>
      <c r="D76" s="215"/>
      <c r="E76" s="21" t="s">
        <v>236</v>
      </c>
      <c r="F76" s="9">
        <v>1</v>
      </c>
      <c r="G76" s="216" t="s">
        <v>237</v>
      </c>
      <c r="H76" s="216"/>
      <c r="I76" s="216"/>
      <c r="J76" s="216"/>
    </row>
    <row r="77" spans="1:10" x14ac:dyDescent="0.2">
      <c r="A77" s="21" t="s">
        <v>5</v>
      </c>
      <c r="B77" s="9">
        <v>2</v>
      </c>
      <c r="C77" s="215" t="s">
        <v>6</v>
      </c>
      <c r="D77" s="215"/>
      <c r="E77" s="22" t="s">
        <v>20</v>
      </c>
      <c r="F77" s="22">
        <v>2</v>
      </c>
      <c r="G77" s="217" t="s">
        <v>14</v>
      </c>
      <c r="H77" s="218"/>
      <c r="I77" s="218"/>
      <c r="J77" s="219"/>
    </row>
    <row r="78" spans="1:10" x14ac:dyDescent="0.2">
      <c r="A78" s="21" t="s">
        <v>7</v>
      </c>
      <c r="B78" s="9">
        <v>3</v>
      </c>
      <c r="C78" s="215" t="s">
        <v>8</v>
      </c>
      <c r="D78" s="215"/>
      <c r="E78" s="23" t="s">
        <v>21</v>
      </c>
      <c r="F78" s="23">
        <v>3</v>
      </c>
      <c r="G78" s="220" t="s">
        <v>15</v>
      </c>
      <c r="H78" s="220"/>
      <c r="I78" s="220"/>
      <c r="J78" s="220"/>
    </row>
    <row r="79" spans="1:10" x14ac:dyDescent="0.2">
      <c r="A79" s="21" t="s">
        <v>9</v>
      </c>
      <c r="B79" s="9">
        <v>4</v>
      </c>
      <c r="C79" s="215" t="s">
        <v>10</v>
      </c>
      <c r="D79" s="215"/>
      <c r="E79" s="24" t="s">
        <v>22</v>
      </c>
      <c r="F79" s="24">
        <v>4</v>
      </c>
      <c r="G79" s="221" t="s">
        <v>16</v>
      </c>
      <c r="H79" s="221"/>
      <c r="I79" s="221"/>
      <c r="J79" s="221"/>
    </row>
    <row r="80" spans="1:10" x14ac:dyDescent="0.2">
      <c r="A80" s="21" t="s">
        <v>11</v>
      </c>
      <c r="B80" s="9">
        <v>5</v>
      </c>
      <c r="C80" s="215" t="s">
        <v>12</v>
      </c>
      <c r="D80" s="215"/>
      <c r="E80" s="25" t="s">
        <v>17</v>
      </c>
      <c r="F80" s="25">
        <v>5</v>
      </c>
      <c r="G80" s="222" t="s">
        <v>18</v>
      </c>
      <c r="H80" s="222"/>
      <c r="I80" s="222"/>
      <c r="J80" s="222"/>
    </row>
    <row r="81" spans="1:10" x14ac:dyDescent="0.2">
      <c r="A81" s="223" t="s">
        <v>161</v>
      </c>
      <c r="B81" s="223"/>
      <c r="C81" s="223"/>
      <c r="D81" s="223"/>
      <c r="E81" s="223"/>
      <c r="F81" s="223"/>
      <c r="G81" s="223"/>
      <c r="H81" s="223"/>
      <c r="I81" s="223"/>
      <c r="J81" s="223"/>
    </row>
    <row r="82" spans="1:10" x14ac:dyDescent="0.2">
      <c r="A82" s="224" t="s">
        <v>13</v>
      </c>
      <c r="B82" s="225"/>
      <c r="C82" s="226" t="s">
        <v>19</v>
      </c>
      <c r="D82" s="226"/>
      <c r="E82" s="226"/>
      <c r="F82" s="226"/>
      <c r="G82" s="226"/>
      <c r="H82" s="226"/>
      <c r="I82" s="226"/>
      <c r="J82" s="226"/>
    </row>
    <row r="83" spans="1:10" x14ac:dyDescent="0.2">
      <c r="C83" s="26" t="s">
        <v>24</v>
      </c>
      <c r="D83" s="227" t="s">
        <v>25</v>
      </c>
      <c r="E83" s="227"/>
      <c r="F83" s="227" t="s">
        <v>26</v>
      </c>
      <c r="G83" s="227"/>
      <c r="H83" s="227"/>
      <c r="I83" s="26" t="s">
        <v>27</v>
      </c>
      <c r="J83" s="26" t="s">
        <v>28</v>
      </c>
    </row>
    <row r="84" spans="1:10" x14ac:dyDescent="0.2">
      <c r="A84" s="228" t="s">
        <v>29</v>
      </c>
      <c r="B84" s="228"/>
      <c r="C84" s="27">
        <v>5</v>
      </c>
      <c r="D84" s="220">
        <v>10</v>
      </c>
      <c r="E84" s="220"/>
      <c r="F84" s="222">
        <v>15</v>
      </c>
      <c r="G84" s="222"/>
      <c r="H84" s="222"/>
      <c r="I84" s="28">
        <v>20</v>
      </c>
      <c r="J84" s="28">
        <v>25</v>
      </c>
    </row>
    <row r="85" spans="1:10" x14ac:dyDescent="0.2">
      <c r="A85" s="228" t="s">
        <v>30</v>
      </c>
      <c r="B85" s="228"/>
      <c r="C85" s="29">
        <v>4</v>
      </c>
      <c r="D85" s="220">
        <v>8</v>
      </c>
      <c r="E85" s="220"/>
      <c r="F85" s="222">
        <v>12</v>
      </c>
      <c r="G85" s="222"/>
      <c r="H85" s="222"/>
      <c r="I85" s="28">
        <v>16</v>
      </c>
      <c r="J85" s="28">
        <v>20</v>
      </c>
    </row>
    <row r="86" spans="1:10" x14ac:dyDescent="0.2">
      <c r="A86" s="229" t="s">
        <v>31</v>
      </c>
      <c r="B86" s="229"/>
      <c r="C86" s="30">
        <v>3</v>
      </c>
      <c r="D86" s="230">
        <v>6</v>
      </c>
      <c r="E86" s="230"/>
      <c r="F86" s="231">
        <v>9</v>
      </c>
      <c r="G86" s="232"/>
      <c r="H86" s="233"/>
      <c r="I86" s="31">
        <v>12</v>
      </c>
      <c r="J86" s="31">
        <v>15</v>
      </c>
    </row>
    <row r="87" spans="1:10" x14ac:dyDescent="0.2">
      <c r="A87" s="228" t="s">
        <v>32</v>
      </c>
      <c r="B87" s="228"/>
      <c r="C87" s="29">
        <v>2</v>
      </c>
      <c r="D87" s="234">
        <v>4</v>
      </c>
      <c r="E87" s="234"/>
      <c r="F87" s="231">
        <v>6</v>
      </c>
      <c r="G87" s="232"/>
      <c r="H87" s="233"/>
      <c r="I87" s="27">
        <v>8</v>
      </c>
      <c r="J87" s="27">
        <v>10</v>
      </c>
    </row>
    <row r="88" spans="1:10" x14ac:dyDescent="0.2">
      <c r="A88" s="228" t="s">
        <v>33</v>
      </c>
      <c r="B88" s="228"/>
      <c r="C88" s="29">
        <v>1</v>
      </c>
      <c r="D88" s="235">
        <v>2</v>
      </c>
      <c r="E88" s="236"/>
      <c r="F88" s="237">
        <v>3</v>
      </c>
      <c r="G88" s="238"/>
      <c r="H88" s="239"/>
      <c r="I88" s="29">
        <v>4</v>
      </c>
      <c r="J88" s="27">
        <v>5</v>
      </c>
    </row>
    <row r="89" spans="1:10" x14ac:dyDescent="0.2">
      <c r="A89" s="226" t="s">
        <v>34</v>
      </c>
      <c r="B89" s="226"/>
      <c r="C89" s="226" t="s">
        <v>35</v>
      </c>
      <c r="D89" s="226"/>
      <c r="E89" s="226"/>
      <c r="F89" s="226"/>
      <c r="G89" s="226"/>
      <c r="H89" s="226" t="s">
        <v>36</v>
      </c>
      <c r="I89" s="226"/>
      <c r="J89" s="226"/>
    </row>
    <row r="90" spans="1:10" ht="30" x14ac:dyDescent="0.2">
      <c r="A90" s="32" t="s">
        <v>37</v>
      </c>
      <c r="B90" s="33" t="s">
        <v>42</v>
      </c>
      <c r="C90" s="240" t="s">
        <v>159</v>
      </c>
      <c r="D90" s="240"/>
      <c r="E90" s="240"/>
      <c r="F90" s="240"/>
      <c r="G90" s="240"/>
      <c r="H90" s="241" t="s">
        <v>72</v>
      </c>
      <c r="I90" s="241"/>
      <c r="J90" s="241"/>
    </row>
    <row r="91" spans="1:10" ht="30" x14ac:dyDescent="0.2">
      <c r="A91" s="34" t="s">
        <v>38</v>
      </c>
      <c r="B91" s="35" t="s">
        <v>41</v>
      </c>
      <c r="C91" s="240" t="s">
        <v>160</v>
      </c>
      <c r="D91" s="240"/>
      <c r="E91" s="240"/>
      <c r="F91" s="240"/>
      <c r="G91" s="240"/>
      <c r="H91" s="241" t="s">
        <v>157</v>
      </c>
      <c r="I91" s="241"/>
      <c r="J91" s="241"/>
    </row>
    <row r="92" spans="1:10" ht="30" x14ac:dyDescent="0.2">
      <c r="A92" s="36" t="s">
        <v>39</v>
      </c>
      <c r="B92" s="37" t="s">
        <v>40</v>
      </c>
      <c r="C92" s="240" t="s">
        <v>158</v>
      </c>
      <c r="D92" s="240"/>
      <c r="E92" s="240"/>
      <c r="F92" s="240"/>
      <c r="G92" s="240"/>
      <c r="H92" s="241" t="s">
        <v>73</v>
      </c>
      <c r="I92" s="241"/>
      <c r="J92" s="241"/>
    </row>
    <row r="93" spans="1:10" ht="25.5" customHeight="1" x14ac:dyDescent="0.2"/>
  </sheetData>
  <mergeCells count="98">
    <mergeCell ref="C92:G92"/>
    <mergeCell ref="H92:J92"/>
    <mergeCell ref="A89:B89"/>
    <mergeCell ref="C89:G89"/>
    <mergeCell ref="H89:J89"/>
    <mergeCell ref="C90:G90"/>
    <mergeCell ref="H90:J90"/>
    <mergeCell ref="C91:G91"/>
    <mergeCell ref="H91:J91"/>
    <mergeCell ref="A87:B87"/>
    <mergeCell ref="D87:E87"/>
    <mergeCell ref="F87:H87"/>
    <mergeCell ref="A88:B88"/>
    <mergeCell ref="D88:E88"/>
    <mergeCell ref="F88:H88"/>
    <mergeCell ref="A85:B85"/>
    <mergeCell ref="D85:E85"/>
    <mergeCell ref="F85:H85"/>
    <mergeCell ref="A86:B86"/>
    <mergeCell ref="D86:E86"/>
    <mergeCell ref="F86:H86"/>
    <mergeCell ref="D83:E83"/>
    <mergeCell ref="F83:H83"/>
    <mergeCell ref="A84:B84"/>
    <mergeCell ref="D84:E84"/>
    <mergeCell ref="F84:H84"/>
    <mergeCell ref="C80:D80"/>
    <mergeCell ref="G80:J80"/>
    <mergeCell ref="A81:J81"/>
    <mergeCell ref="A82:B82"/>
    <mergeCell ref="C82:J82"/>
    <mergeCell ref="C77:D77"/>
    <mergeCell ref="G77:J77"/>
    <mergeCell ref="C78:D78"/>
    <mergeCell ref="G78:J78"/>
    <mergeCell ref="C79:D79"/>
    <mergeCell ref="G79:J79"/>
    <mergeCell ref="A73:J73"/>
    <mergeCell ref="A75:D75"/>
    <mergeCell ref="E75:J75"/>
    <mergeCell ref="C76:D76"/>
    <mergeCell ref="G76:J76"/>
    <mergeCell ref="A24:B24"/>
    <mergeCell ref="C24:D24"/>
    <mergeCell ref="A25:J25"/>
    <mergeCell ref="J27:J72"/>
    <mergeCell ref="C37:C39"/>
    <mergeCell ref="C40:C43"/>
    <mergeCell ref="C44:C47"/>
    <mergeCell ref="B55:B68"/>
    <mergeCell ref="C55:C68"/>
    <mergeCell ref="A69:A72"/>
    <mergeCell ref="A21:B21"/>
    <mergeCell ref="C21:D21"/>
    <mergeCell ref="A22:B22"/>
    <mergeCell ref="C22:D22"/>
    <mergeCell ref="A23:B23"/>
    <mergeCell ref="C23:D23"/>
    <mergeCell ref="A18:B18"/>
    <mergeCell ref="C18:D18"/>
    <mergeCell ref="A19:B19"/>
    <mergeCell ref="C19:D19"/>
    <mergeCell ref="A20:B20"/>
    <mergeCell ref="C20:D20"/>
    <mergeCell ref="C15:D15"/>
    <mergeCell ref="A16:B16"/>
    <mergeCell ref="C16:D16"/>
    <mergeCell ref="A17:B17"/>
    <mergeCell ref="C17:D17"/>
    <mergeCell ref="A8:J8"/>
    <mergeCell ref="A9:B9"/>
    <mergeCell ref="C9:D9"/>
    <mergeCell ref="A10:B10"/>
    <mergeCell ref="C10:D10"/>
    <mergeCell ref="E9:G24"/>
    <mergeCell ref="A11:B11"/>
    <mergeCell ref="C11:D11"/>
    <mergeCell ref="A12:B12"/>
    <mergeCell ref="C12:D12"/>
    <mergeCell ref="H9:J24"/>
    <mergeCell ref="A13:B13"/>
    <mergeCell ref="C13:D13"/>
    <mergeCell ref="A14:B14"/>
    <mergeCell ref="C14:D14"/>
    <mergeCell ref="A15:B15"/>
    <mergeCell ref="A4:C4"/>
    <mergeCell ref="F4:J4"/>
    <mergeCell ref="A5:J5"/>
    <mergeCell ref="A6:J6"/>
    <mergeCell ref="A7:B7"/>
    <mergeCell ref="C7:D7"/>
    <mergeCell ref="E7:G7"/>
    <mergeCell ref="H7:J7"/>
    <mergeCell ref="A1:A3"/>
    <mergeCell ref="B1:J1"/>
    <mergeCell ref="B2:J2"/>
    <mergeCell ref="B3:C3"/>
    <mergeCell ref="D3:J3"/>
  </mergeCells>
  <conditionalFormatting sqref="H27:H72">
    <cfRule type="cellIs" dxfId="2" priority="1" stopIfTrue="1" operator="between">
      <formula>1</formula>
      <formula>4</formula>
    </cfRule>
    <cfRule type="cellIs" dxfId="1" priority="2" stopIfTrue="1" operator="between">
      <formula>5</formula>
      <formula>10</formula>
    </cfRule>
    <cfRule type="cellIs" dxfId="0" priority="3" stopIfTrue="1" operator="greaterThanOrEqual">
      <formula>12</formula>
    </cfRule>
  </conditionalFormatting>
  <pageMargins left="0.511811024" right="0.511811024" top="0.78740157499999996" bottom="0.78740157499999996" header="0.31496062000000002" footer="0.31496062000000002"/>
  <pageSetup paperSize="9" scale="58" fitToHeight="0" orientation="landscape" r:id="rId1"/>
  <headerFooter>
    <oddFooter>&amp;CElaborado por Gilvane Lolato
Setembro de 2017</oddFooter>
  </headerFooter>
  <rowBreaks count="3" manualBreakCount="3">
    <brk id="24" max="9" man="1"/>
    <brk id="43" max="9" man="1"/>
    <brk id="73"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3</vt:i4>
      </vt:variant>
    </vt:vector>
  </HeadingPairs>
  <TitlesOfParts>
    <vt:vector size="6" baseType="lpstr">
      <vt:lpstr>Recálculo Guia Dpt. Fiscal</vt:lpstr>
      <vt:lpstr>Plan1</vt:lpstr>
      <vt:lpstr>EXEMPLO</vt:lpstr>
      <vt:lpstr>EXEMPLO!Area_de_impressao</vt:lpstr>
      <vt:lpstr>'Recálculo Guia Dpt. Fiscal'!Area_de_impressao</vt:lpstr>
      <vt:lpstr>Setores_Hospitalares</vt:lpstr>
    </vt:vector>
  </TitlesOfParts>
  <Company>ISCMSP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Atos Nick</dc:creator>
  <cp:lastModifiedBy>Exatas</cp:lastModifiedBy>
  <cp:lastPrinted>2023-09-21T18:27:52Z</cp:lastPrinted>
  <dcterms:created xsi:type="dcterms:W3CDTF">2014-07-21T14:49:18Z</dcterms:created>
  <dcterms:modified xsi:type="dcterms:W3CDTF">2026-07-09T19:42:59Z</dcterms:modified>
</cp:coreProperties>
</file>