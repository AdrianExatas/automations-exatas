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dos\Administrador 19610\Controles em Geral\Consultorias\Exatas Contabilidade\SGQ [Gestão Documental]\Modelos [White Label]\"/>
    </mc:Choice>
  </mc:AlternateContent>
  <xr:revisionPtr revIDLastSave="0" documentId="13_ncr:1_{42147F9D-4A29-485E-AD49-9CF9565B47F3}" xr6:coauthVersionLast="47" xr6:coauthVersionMax="47" xr10:uidLastSave="{00000000-0000-0000-0000-000000000000}"/>
  <bookViews>
    <workbookView xWindow="315" yWindow="375" windowWidth="27630" windowHeight="15000" xr2:uid="{00000000-000D-0000-FFFF-FFFF00000000}"/>
  </bookViews>
  <sheets>
    <sheet name="Modelo_Análise Upsell" sheetId="13" r:id="rId1"/>
  </sheets>
  <definedNames>
    <definedName name="_xlnm.Print_Area" localSheetId="0">'Modelo_Análise Upsell'!$B$2:$K$72</definedName>
  </definedNames>
  <calcPr calcId="191029"/>
</workbook>
</file>

<file path=xl/calcChain.xml><?xml version="1.0" encoding="utf-8"?>
<calcChain xmlns="http://schemas.openxmlformats.org/spreadsheetml/2006/main">
  <c r="F53" i="13" l="1"/>
  <c r="L54" i="13"/>
  <c r="L49" i="13"/>
  <c r="L45" i="13"/>
  <c r="L42" i="13"/>
  <c r="L37" i="13"/>
  <c r="L32" i="13"/>
  <c r="L31" i="13"/>
  <c r="L30" i="13"/>
  <c r="L29" i="13"/>
  <c r="L22" i="13"/>
  <c r="L23" i="13"/>
  <c r="L24" i="13"/>
  <c r="L17" i="13"/>
  <c r="C10" i="13"/>
  <c r="C11" i="13" s="1"/>
  <c r="L44" i="13"/>
  <c r="M44" i="13"/>
  <c r="M66" i="13" l="1"/>
  <c r="G53" i="13" s="1"/>
  <c r="J11" i="13" s="1"/>
  <c r="M51" i="13"/>
  <c r="G48" i="13" s="1"/>
  <c r="J10" i="13" s="1"/>
  <c r="M46" i="13"/>
  <c r="G41" i="13" s="1"/>
  <c r="J9" i="13" s="1"/>
  <c r="M39" i="13"/>
  <c r="G36" i="13" s="1"/>
  <c r="I12" i="13" s="1"/>
  <c r="M18" i="13"/>
  <c r="G15" i="13" s="1"/>
  <c r="I9" i="13" s="1"/>
  <c r="M26" i="13"/>
  <c r="G20" i="13" s="1"/>
  <c r="I10" i="13" s="1"/>
  <c r="M34" i="13"/>
  <c r="G28" i="13" s="1"/>
  <c r="I11" i="13" s="1"/>
  <c r="M63" i="13"/>
  <c r="M58" i="13"/>
  <c r="M59" i="13"/>
  <c r="M60" i="13"/>
  <c r="M61" i="13"/>
  <c r="M62" i="13"/>
  <c r="M64" i="13"/>
  <c r="M65" i="13"/>
  <c r="L65" i="13"/>
  <c r="M57" i="13"/>
  <c r="L57" i="13"/>
  <c r="M56" i="13"/>
  <c r="L56" i="13"/>
  <c r="M55" i="13"/>
  <c r="L55" i="13"/>
  <c r="M54" i="13"/>
  <c r="M50" i="13"/>
  <c r="L50" i="13"/>
  <c r="M49" i="13"/>
  <c r="M43" i="13"/>
  <c r="L43" i="13"/>
  <c r="M42" i="13"/>
  <c r="C8" i="13"/>
  <c r="F41" i="13" l="1"/>
  <c r="K12" i="13"/>
  <c r="F48" i="13"/>
  <c r="M38" i="13"/>
  <c r="L38" i="13"/>
  <c r="M37" i="13"/>
  <c r="M33" i="13"/>
  <c r="L33" i="13"/>
  <c r="M29" i="13"/>
  <c r="L27" i="13"/>
  <c r="M25" i="13"/>
  <c r="L25" i="13"/>
  <c r="M21" i="13"/>
  <c r="F20" i="13" s="1"/>
  <c r="L21" i="13"/>
  <c r="M17" i="13"/>
  <c r="M16" i="13"/>
  <c r="L16" i="13"/>
  <c r="F28" i="13" l="1"/>
  <c r="F15" i="13"/>
  <c r="F36" i="13"/>
  <c r="F9" i="13"/>
  <c r="F8" i="13"/>
  <c r="E8" i="13" s="1"/>
  <c r="F11" i="13"/>
  <c r="F10" i="13"/>
  <c r="L28" i="13"/>
  <c r="F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Atos Nick Batista</author>
  </authors>
  <commentList>
    <comment ref="E8" authorId="0" shapeId="0" xr:uid="{19DB769E-3C26-48E2-8B14-9331CA587D33}">
      <text>
        <r>
          <rPr>
            <sz val="9"/>
            <color indexed="81"/>
            <rFont val="Segoe UI"/>
            <family val="2"/>
          </rPr>
          <t>Status Automático da Tarefa</t>
        </r>
      </text>
    </comment>
    <comment ref="F8" authorId="0" shapeId="0" xr:uid="{67916704-E575-4F95-BA40-D3080B372F8A}">
      <text>
        <r>
          <rPr>
            <sz val="9"/>
            <color indexed="81"/>
            <rFont val="Segoe UI"/>
            <family val="2"/>
          </rPr>
          <t>Prazo Restante Entrega da Tarefa</t>
        </r>
      </text>
    </comment>
    <comment ref="C9" authorId="0" shapeId="0" xr:uid="{22B66B5F-8CB6-43E9-B559-492CF675A298}">
      <text>
        <r>
          <rPr>
            <sz val="9"/>
            <color indexed="81"/>
            <rFont val="Segoe UI"/>
            <family val="2"/>
          </rPr>
          <t>Data Prevista Execução da Tarefa</t>
        </r>
      </text>
    </comment>
    <comment ref="C10" authorId="0" shapeId="0" xr:uid="{72503653-818D-400E-A8EF-1C06C5DE1E0D}">
      <text>
        <r>
          <rPr>
            <sz val="9"/>
            <color indexed="81"/>
            <rFont val="Segoe UI"/>
            <family val="2"/>
          </rPr>
          <t>Data Ação + Qtde. Dias de Prazo à Conclusão da Tarefa</t>
        </r>
      </text>
    </comment>
    <comment ref="C11" authorId="0" shapeId="0" xr:uid="{BB0FC635-9A6D-4C2A-832F-9E9664E21ED5}">
      <text>
        <r>
          <rPr>
            <sz val="9"/>
            <color indexed="81"/>
            <rFont val="Segoe UI"/>
            <family val="2"/>
          </rPr>
          <t>Data Meta + Qtde. Dias de Prazo à Checagem Final e Envio ao Cliente</t>
        </r>
      </text>
    </comment>
    <comment ref="B14" authorId="0" shapeId="0" xr:uid="{23F095D4-8796-47E4-8B3D-631442CD1106}">
      <text>
        <r>
          <rPr>
            <sz val="9"/>
            <color indexed="81"/>
            <rFont val="Segoe UI"/>
            <family val="2"/>
          </rPr>
          <t>Nome Setor</t>
        </r>
      </text>
    </comment>
    <comment ref="F15" authorId="0" shapeId="0" xr:uid="{C932D7AC-7E3E-4BA2-8075-207EFFFCC3DF}">
      <text>
        <r>
          <rPr>
            <sz val="9"/>
            <color indexed="81"/>
            <rFont val="Segoe UI"/>
            <family val="2"/>
          </rPr>
          <t>Coeficiente Conformidade no Cumprimento da Atividade</t>
        </r>
      </text>
    </comment>
    <comment ref="G15" authorId="0" shapeId="0" xr:uid="{9A918E06-4B86-49BB-9EC4-462F24C2F605}">
      <text>
        <r>
          <rPr>
            <sz val="9"/>
            <color indexed="81"/>
            <rFont val="Segoe UI"/>
            <family val="2"/>
          </rPr>
          <t xml:space="preserve">Coeficiente Conformidade Verificada na Inspeção [Double Check]
</t>
        </r>
      </text>
    </comment>
    <comment ref="B16" authorId="0" shapeId="0" xr:uid="{065D462B-AFDE-43B3-898E-B0121966C111}">
      <text>
        <r>
          <rPr>
            <sz val="9"/>
            <color indexed="81"/>
            <rFont val="Segoe UI"/>
            <family val="2"/>
          </rPr>
          <t>Pergunta Objetiva Com Descrição Atividade [Etapa]</t>
        </r>
      </text>
    </comment>
    <comment ref="H16" authorId="0" shapeId="0" xr:uid="{48E487D3-86BD-4624-82F0-5CEC28993B95}">
      <text>
        <r>
          <rPr>
            <sz val="9"/>
            <color indexed="81"/>
            <rFont val="Segoe UI"/>
            <family val="2"/>
          </rPr>
          <t>Campo reservado para apresentação de ponderações do analista</t>
        </r>
      </text>
    </comment>
    <comment ref="H18" authorId="0" shapeId="0" xr:uid="{A8AB1D0D-06C0-4EFD-994F-13C517235FA9}">
      <text>
        <r>
          <rPr>
            <sz val="9"/>
            <color indexed="81"/>
            <rFont val="Segoe UI"/>
            <family val="2"/>
          </rPr>
          <t>Campo reservado para apresentação de evidências da inspeção</t>
        </r>
      </text>
    </comment>
  </commentList>
</comments>
</file>

<file path=xl/sharedStrings.xml><?xml version="1.0" encoding="utf-8"?>
<sst xmlns="http://schemas.openxmlformats.org/spreadsheetml/2006/main" count="149" uniqueCount="74">
  <si>
    <t>1- Processo de Recepção de Carcaças</t>
  </si>
  <si>
    <t>SIM / NÃO</t>
  </si>
  <si>
    <t>Coeficiente Parcial:</t>
  </si>
  <si>
    <t xml:space="preserve">Obs2: </t>
  </si>
  <si>
    <t xml:space="preserve">OBSERVAÇÃO: 
</t>
  </si>
  <si>
    <t>O que é Normalização?
Processo de formulação e aplicação de regras para um tratamento ordenado de uma atividade específica, para o benefício e com a cooperação de todos os interessados e, em particular, para a promoção da economia global ótima, levando na devida conta condições funcionais e requisitos de segurança.
Objetivos:
a) Economia global, em termos de esforço humano, materiais, força na produção e troca de mercadorias;
b) A proteção do interesse do consumidor por intermédio da adequada e contínua qualidade de mercadorias e serviços;
c) A segurança, saúde e proteção de vida; o fornecimento dos meios de expressão e;
d) Comunicação entre as partes interessadas
Impactos:
a) Melhor qualidade, quantidade e regularidade de produção;
b) Equilíbrio entre a oferta e a procura;
c) Aumento da competitividade no mercado nacional;
d) Redução de litígios;
e) Crescimento da produtividade nacional;
Produção:
a) Eliminação de despedícios;
b) Padronização da documentação técnica;
c) Redução de custos;
d) Aumento da produtividade;
e) Base clara para concorrência, evitando assim a concorrência desleal;
Consumo:
a) Acesso a dados técnicos padronizados;
b) Redução de preços;
c) Padronização de pedidos;
d) Possibilidade de comparação objetiva entre produtos, processos e serviços;
e) Redução de prazos de entrega;
f) Garantia da qualidade, regularidade, segurança e integridade;
Social:
Instruções capazes de induzir e assegurar maior uniformidade do trabalho gerando, em decorrência, melhoria da qualidade da atividade laboratorial, menor desgaste físico e psicológico do trabalhador e melhor nível de segurança do pessoal e dos equipamentos
Tecnológico:
a) A normalização representa a formalização, consolidação e universalização do acesso à tecnologia disponível de um país;
b) Facilita as relações comerciais com exigências mínimas aos requisitos técnicos e características de um produto ou serviço;
Benefícios Qualitativos:
a) Utilização adequada de recursos;
b) Disciplina na Produção;
c) Uniformidade do trabalho;
d) Registro do conhecimento tecnológico;
e) Melhoria no nível de capacitação do pessoal;
f) Controle dos produtos e processos;
g) Segurança do pessoal e dos equipamentos;
h) Racionalização do uso do tempo;
Benefícios Quantitativos:
a) Redução do consumo e do desperdício;
b) Especificação e uniformização de matérias primas;
c) Padronização de componentes e equipamentos;
d) Redução de variedades de produtos;
e) Disponibilização de procedimentos para cálculos e projetos;
f) Melhoria da produtividade;
g) Eficácia da comunicação entre pessoas e empresas</t>
  </si>
  <si>
    <t>Parecer Inspeção:</t>
  </si>
  <si>
    <t>Resumo de Inspeção</t>
  </si>
  <si>
    <t>Conclusão:</t>
  </si>
  <si>
    <t>SIM</t>
  </si>
  <si>
    <t>NÃO CONFORME</t>
  </si>
  <si>
    <t>NÃO</t>
  </si>
  <si>
    <t xml:space="preserve">Frequência: Sob Demanda                                                                                    </t>
  </si>
  <si>
    <t>Código:</t>
  </si>
  <si>
    <t>Setor:</t>
  </si>
  <si>
    <t>Data Ação:</t>
  </si>
  <si>
    <t>Data Meta:</t>
  </si>
  <si>
    <t>Data Prazo:</t>
  </si>
  <si>
    <t>Cliente:</t>
  </si>
  <si>
    <t>1 - Coeficiente de Conformidade</t>
  </si>
  <si>
    <t>[CNPJ]</t>
  </si>
  <si>
    <t>[NOME CLIENTE]</t>
  </si>
  <si>
    <t>Gerenc. Prazo:</t>
  </si>
  <si>
    <t>Data Emissão</t>
  </si>
  <si>
    <t>Data Revisão</t>
  </si>
  <si>
    <t>XX/XX/XXXX</t>
  </si>
  <si>
    <t>Elaborado Por:</t>
  </si>
  <si>
    <t>Verificado Por:</t>
  </si>
  <si>
    <t>Aprovador Por:</t>
  </si>
  <si>
    <t>CONFORME</t>
  </si>
  <si>
    <r>
      <t xml:space="preserve">Página </t>
    </r>
    <r>
      <rPr>
        <b/>
        <sz val="10"/>
        <color indexed="23"/>
        <rFont val="Aptos"/>
        <family val="2"/>
      </rPr>
      <t>1/1</t>
    </r>
  </si>
  <si>
    <r>
      <rPr>
        <b/>
        <sz val="10"/>
        <color rgb="FF808080"/>
        <rFont val="Aptos"/>
        <family val="2"/>
      </rPr>
      <t>Versão</t>
    </r>
    <r>
      <rPr>
        <sz val="10"/>
        <color rgb="FF808080"/>
        <rFont val="Aptos"/>
        <family val="2"/>
      </rPr>
      <t>: 00</t>
    </r>
  </si>
  <si>
    <t>CS</t>
  </si>
  <si>
    <t>FORM.CS.002</t>
  </si>
  <si>
    <t>CHECK LIST DE ANÁLISE E PROPOSTA UPSELL AO CLIENTE</t>
  </si>
  <si>
    <t>1 | DADOS GERAIS</t>
  </si>
  <si>
    <t>Data de Análise</t>
  </si>
  <si>
    <t>2 | DESCRIÇÃO PROBLEMA / OPORTUNIDADE</t>
  </si>
  <si>
    <t>3 | DESCRIÇÃO SOLUÇÃO</t>
  </si>
  <si>
    <r>
      <rPr>
        <b/>
        <sz val="10"/>
        <color theme="1"/>
        <rFont val="Aptos"/>
        <family val="2"/>
      </rPr>
      <t>Breve Descrição do Problema / Oportunidade</t>
    </r>
    <r>
      <rPr>
        <sz val="10"/>
        <color theme="1"/>
        <rFont val="Aptos"/>
        <family val="2"/>
      </rPr>
      <t xml:space="preserve"> Encontrado</t>
    </r>
  </si>
  <si>
    <r>
      <t xml:space="preserve">Identificação </t>
    </r>
    <r>
      <rPr>
        <b/>
        <sz val="10"/>
        <color theme="1"/>
        <rFont val="Aptos"/>
        <family val="2"/>
      </rPr>
      <t>Documento Processado e Analisado</t>
    </r>
  </si>
  <si>
    <r>
      <t xml:space="preserve">Identificação de </t>
    </r>
    <r>
      <rPr>
        <b/>
        <sz val="10"/>
        <color theme="1"/>
        <rFont val="Aptos"/>
        <family val="2"/>
      </rPr>
      <t>Evento / Rubrica Analisado</t>
    </r>
  </si>
  <si>
    <r>
      <rPr>
        <b/>
        <sz val="10"/>
        <color theme="1"/>
        <rFont val="Aptos"/>
        <family val="2"/>
      </rPr>
      <t>Período de Análise</t>
    </r>
    <r>
      <rPr>
        <sz val="10"/>
        <color theme="1"/>
        <rFont val="Aptos"/>
        <family val="2"/>
      </rPr>
      <t xml:space="preserve"> [Mês/Ano Inicio e Mês/Ano Fim]</t>
    </r>
  </si>
  <si>
    <r>
      <t xml:space="preserve">Nome </t>
    </r>
    <r>
      <rPr>
        <b/>
        <sz val="10"/>
        <color theme="1"/>
        <rFont val="Aptos"/>
        <family val="2"/>
      </rPr>
      <t xml:space="preserve">Responsável </t>
    </r>
    <r>
      <rPr>
        <sz val="10"/>
        <color theme="1"/>
        <rFont val="Aptos"/>
        <family val="2"/>
      </rPr>
      <t>Pela Análise</t>
    </r>
  </si>
  <si>
    <r>
      <t xml:space="preserve">Mensuração </t>
    </r>
    <r>
      <rPr>
        <b/>
        <sz val="10"/>
        <color theme="1"/>
        <rFont val="Aptos"/>
        <family val="2"/>
      </rPr>
      <t xml:space="preserve">Impacto Financeiro </t>
    </r>
    <r>
      <rPr>
        <sz val="10"/>
        <color theme="1"/>
        <rFont val="Aptos"/>
        <family val="2"/>
      </rPr>
      <t>do Problema / Oportunidade</t>
    </r>
  </si>
  <si>
    <r>
      <rPr>
        <b/>
        <sz val="10"/>
        <color theme="1"/>
        <rFont val="Aptos"/>
        <family val="2"/>
      </rPr>
      <t>Breve Descrição da Solução</t>
    </r>
    <r>
      <rPr>
        <sz val="10"/>
        <color theme="1"/>
        <rFont val="Aptos"/>
        <family val="2"/>
      </rPr>
      <t xml:space="preserve"> Proposta</t>
    </r>
  </si>
  <si>
    <r>
      <t xml:space="preserve">Apuração </t>
    </r>
    <r>
      <rPr>
        <b/>
        <sz val="10"/>
        <color theme="1"/>
        <rFont val="Aptos"/>
        <family val="2"/>
      </rPr>
      <t xml:space="preserve">Benefícios </t>
    </r>
    <r>
      <rPr>
        <sz val="10"/>
        <color theme="1"/>
        <rFont val="Aptos"/>
        <family val="2"/>
      </rPr>
      <t>Previstos</t>
    </r>
  </si>
  <si>
    <r>
      <t xml:space="preserve">Identificação de </t>
    </r>
    <r>
      <rPr>
        <b/>
        <sz val="10"/>
        <color theme="1"/>
        <rFont val="Aptos"/>
        <family val="2"/>
      </rPr>
      <t xml:space="preserve">Solução </t>
    </r>
    <r>
      <rPr>
        <sz val="10"/>
        <color theme="1"/>
        <rFont val="Aptos"/>
        <family val="2"/>
      </rPr>
      <t>Proposta</t>
    </r>
  </si>
  <si>
    <r>
      <t xml:space="preserve">Identificação </t>
    </r>
    <r>
      <rPr>
        <b/>
        <sz val="10"/>
        <color theme="1"/>
        <rFont val="Aptos"/>
        <family val="2"/>
      </rPr>
      <t>Produto / Serviço Upsell</t>
    </r>
  </si>
  <si>
    <r>
      <t xml:space="preserve">Identificação </t>
    </r>
    <r>
      <rPr>
        <b/>
        <sz val="10"/>
        <color theme="1"/>
        <rFont val="Aptos"/>
        <family val="2"/>
      </rPr>
      <t>Valor da Proposta</t>
    </r>
    <r>
      <rPr>
        <sz val="10"/>
        <color theme="1"/>
        <rFont val="Aptos"/>
        <family val="2"/>
      </rPr>
      <t xml:space="preserve"> do Serviço / Produto</t>
    </r>
  </si>
  <si>
    <t>4 | ABORDAGEM COMERCIAL</t>
  </si>
  <si>
    <t>5 | APRESENTAÇÃO COMERCIAL</t>
  </si>
  <si>
    <t>6 | EXECUÇÃO UPSELL</t>
  </si>
  <si>
    <t>7 | APURAÇÃO DE RESULTADOS</t>
  </si>
  <si>
    <t>2 | PROBLEMA / OPORT.</t>
  </si>
  <si>
    <t>3 | SOLUÇÃO</t>
  </si>
  <si>
    <t>4 | ABORD. COMERCIAL</t>
  </si>
  <si>
    <t>5 | APRES. COMERCIAL</t>
  </si>
  <si>
    <t>6 | UPSELL</t>
  </si>
  <si>
    <t>7 | AP. RESULTADOS</t>
  </si>
  <si>
    <r>
      <t xml:space="preserve">Apresentada e Aprovada </t>
    </r>
    <r>
      <rPr>
        <b/>
        <sz val="10"/>
        <color theme="1"/>
        <rFont val="Aptos"/>
        <family val="2"/>
      </rPr>
      <t>Proposta ao Empresário Contábil / CS</t>
    </r>
  </si>
  <si>
    <r>
      <t xml:space="preserve">Providenciado </t>
    </r>
    <r>
      <rPr>
        <b/>
        <sz val="10"/>
        <color theme="1"/>
        <rFont val="Aptos"/>
        <family val="2"/>
      </rPr>
      <t>Agendamento de Visita Técnica</t>
    </r>
  </si>
  <si>
    <r>
      <t xml:space="preserve">Apresentada </t>
    </r>
    <r>
      <rPr>
        <b/>
        <sz val="10"/>
        <color theme="1"/>
        <rFont val="Aptos"/>
        <family val="2"/>
      </rPr>
      <t>Proposta de Upsell ao Cliente</t>
    </r>
  </si>
  <si>
    <r>
      <t xml:space="preserve">Apuração de </t>
    </r>
    <r>
      <rPr>
        <b/>
        <sz val="10"/>
        <color theme="1"/>
        <rFont val="Aptos"/>
        <family val="2"/>
      </rPr>
      <t>Resultado de Proposta Apresentada</t>
    </r>
    <r>
      <rPr>
        <sz val="10"/>
        <color theme="1"/>
        <rFont val="Aptos"/>
        <family val="2"/>
      </rPr>
      <t xml:space="preserve"> ao Cliente</t>
    </r>
  </si>
  <si>
    <r>
      <t xml:space="preserve">Cliente </t>
    </r>
    <r>
      <rPr>
        <b/>
        <sz val="10"/>
        <color theme="1"/>
        <rFont val="Aptos"/>
        <family val="2"/>
      </rPr>
      <t>Convertido</t>
    </r>
  </si>
  <si>
    <r>
      <t xml:space="preserve">Confecção de </t>
    </r>
    <r>
      <rPr>
        <b/>
        <sz val="10"/>
        <color theme="1"/>
        <rFont val="Aptos"/>
        <family val="2"/>
      </rPr>
      <t>Aditivo Contratual</t>
    </r>
  </si>
  <si>
    <r>
      <t xml:space="preserve">Inicio de </t>
    </r>
    <r>
      <rPr>
        <b/>
        <sz val="10"/>
        <color theme="1"/>
        <rFont val="Aptos"/>
        <family val="2"/>
      </rPr>
      <t>Prestação de Serviços</t>
    </r>
  </si>
  <si>
    <r>
      <t>Efetivado</t>
    </r>
    <r>
      <rPr>
        <b/>
        <sz val="10"/>
        <color theme="1"/>
        <rFont val="Aptos"/>
        <family val="2"/>
      </rPr>
      <t xml:space="preserve"> Pagamento Upsell em Honorário</t>
    </r>
    <r>
      <rPr>
        <sz val="10"/>
        <color theme="1"/>
        <rFont val="Aptos"/>
        <family val="2"/>
      </rPr>
      <t xml:space="preserve"> Pelo Cliente</t>
    </r>
  </si>
  <si>
    <r>
      <rPr>
        <b/>
        <sz val="10"/>
        <color theme="1"/>
        <rFont val="Aptos"/>
        <family val="2"/>
      </rPr>
      <t>Apurada e Repassada Bonificação</t>
    </r>
    <r>
      <rPr>
        <sz val="10"/>
        <color theme="1"/>
        <rFont val="Aptos"/>
        <family val="2"/>
      </rPr>
      <t xml:space="preserve"> ao Analista</t>
    </r>
  </si>
  <si>
    <r>
      <t xml:space="preserve">Elaboração de </t>
    </r>
    <r>
      <rPr>
        <b/>
        <sz val="10"/>
        <color theme="1"/>
        <rFont val="Aptos"/>
        <family val="2"/>
      </rPr>
      <t>Relatório Comercial</t>
    </r>
    <r>
      <rPr>
        <sz val="10"/>
        <color theme="1"/>
        <rFont val="Aptos"/>
        <family val="2"/>
      </rPr>
      <t xml:space="preserve"> Com Pontos de Check List</t>
    </r>
  </si>
  <si>
    <t>Atos Nick Souza Batista</t>
  </si>
  <si>
    <t>Obs1: [Hiperlink Relatório Comercial]</t>
  </si>
  <si>
    <t>Marcilio Andrade</t>
  </si>
  <si>
    <t>Adrian Haelisson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</si>
</sst>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sz val="10"/>
      <color theme="1"/>
      <name val="Aptos"/>
      <family val="2"/>
    </font>
    <font>
      <sz val="6"/>
      <color theme="1"/>
      <name val="Aptos"/>
      <family val="2"/>
    </font>
    <font>
      <sz val="10"/>
      <color rgb="FF808080"/>
      <name val="Aptos"/>
      <family val="2"/>
    </font>
    <font>
      <b/>
      <sz val="10"/>
      <color rgb="FF808080"/>
      <name val="Aptos"/>
      <family val="2"/>
    </font>
    <font>
      <b/>
      <sz val="10"/>
      <color rgb="FF0000FF"/>
      <name val="Aptos"/>
      <family val="2"/>
    </font>
    <font>
      <b/>
      <sz val="10"/>
      <color indexed="23"/>
      <name val="Aptos"/>
      <family val="2"/>
    </font>
    <font>
      <sz val="2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0"/>
      <name val="Aptos"/>
      <family val="2"/>
    </font>
    <font>
      <b/>
      <i/>
      <sz val="10"/>
      <color rgb="FFFF0000"/>
      <name val="Aptos"/>
      <family val="2"/>
    </font>
    <font>
      <sz val="10"/>
      <color rgb="FFFF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2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64" fontId="12" fillId="6" borderId="16" xfId="2" applyNumberFormat="1" applyFont="1" applyFill="1" applyBorder="1" applyAlignment="1" applyProtection="1">
      <alignment horizontal="center" vertical="center"/>
      <protection locked="0"/>
    </xf>
    <xf numFmtId="0" fontId="11" fillId="4" borderId="33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vertical="center"/>
    </xf>
    <xf numFmtId="0" fontId="11" fillId="4" borderId="17" xfId="0" applyFont="1" applyFill="1" applyBorder="1" applyAlignment="1">
      <alignment vertical="center"/>
    </xf>
    <xf numFmtId="0" fontId="11" fillId="4" borderId="24" xfId="0" applyFont="1" applyFill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10" fontId="11" fillId="2" borderId="28" xfId="0" applyNumberFormat="1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10" fontId="11" fillId="7" borderId="29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10" fontId="4" fillId="4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10" fontId="4" fillId="4" borderId="2" xfId="1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left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14" fillId="0" borderId="3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10" fontId="4" fillId="4" borderId="2" xfId="1" applyNumberFormat="1" applyFont="1" applyFill="1" applyBorder="1" applyAlignment="1">
      <alignment horizontal="center" vertical="center"/>
    </xf>
    <xf numFmtId="10" fontId="4" fillId="4" borderId="3" xfId="1" applyNumberFormat="1" applyFont="1" applyFill="1" applyBorder="1" applyAlignment="1">
      <alignment horizontal="center" vertical="center"/>
    </xf>
    <xf numFmtId="10" fontId="4" fillId="4" borderId="4" xfId="1" applyNumberFormat="1" applyFont="1" applyFill="1" applyBorder="1" applyAlignment="1">
      <alignment horizontal="center" vertical="center"/>
    </xf>
    <xf numFmtId="14" fontId="11" fillId="4" borderId="20" xfId="0" applyNumberFormat="1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11" fillId="3" borderId="26" xfId="0" applyFont="1" applyFill="1" applyBorder="1" applyAlignment="1">
      <alignment vertical="center"/>
    </xf>
    <xf numFmtId="0" fontId="11" fillId="3" borderId="31" xfId="0" applyFont="1" applyFill="1" applyBorder="1" applyAlignment="1">
      <alignment vertical="center"/>
    </xf>
    <xf numFmtId="0" fontId="11" fillId="3" borderId="32" xfId="0" applyFont="1" applyFill="1" applyBorder="1" applyAlignment="1">
      <alignment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1" fillId="8" borderId="23" xfId="0" applyFont="1" applyFill="1" applyBorder="1" applyAlignment="1">
      <alignment horizontal="right" vertical="center"/>
    </xf>
    <xf numFmtId="0" fontId="11" fillId="8" borderId="28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10" fontId="11" fillId="4" borderId="2" xfId="1" applyNumberFormat="1" applyFont="1" applyFill="1" applyBorder="1" applyAlignment="1">
      <alignment horizontal="center" vertical="center"/>
    </xf>
    <xf numFmtId="10" fontId="11" fillId="4" borderId="3" xfId="1" applyNumberFormat="1" applyFont="1" applyFill="1" applyBorder="1" applyAlignment="1">
      <alignment horizontal="center" vertical="center"/>
    </xf>
    <xf numFmtId="10" fontId="11" fillId="4" borderId="4" xfId="1" applyNumberFormat="1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3">
    <cellStyle name="Hiperlink" xfId="2" builtinId="8"/>
    <cellStyle name="Normal" xfId="0" builtinId="0"/>
    <cellStyle name="Porcentagem" xfId="1" builtinId="5"/>
  </cellStyles>
  <dxfs count="3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134471</xdr:colOff>
      <xdr:row>1</xdr:row>
      <xdr:rowOff>44824</xdr:rowOff>
    </xdr:from>
    <xdr:to>
      <xdr:col>1</xdr:col>
      <xdr:colOff>662156</xdr:colOff>
      <xdr:row>3</xdr:row>
      <xdr:rowOff>210970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656E222-C47D-2E00-2DEE-A30F6F9A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30" y="224118"/>
          <a:ext cx="527685" cy="535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20160428_SEMED_Sub%20Adm%20Fin_%20Contratos%20&amp;%20Licita&#231;&#245;es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58B6-6463-4F58-86D8-A25CF241A526}">
  <dimension ref="B1:M133"/>
  <sheetViews>
    <sheetView showGridLines="0" tabSelected="1" zoomScale="85" zoomScaleNormal="85" workbookViewId="0">
      <pane ySplit="13" topLeftCell="A35" activePane="bottomLeft" state="frozen"/>
      <selection pane="bottomLeft" activeCell="F73" sqref="F73"/>
    </sheetView>
  </sheetViews>
  <sheetFormatPr defaultRowHeight="13.5" x14ac:dyDescent="0.25"/>
  <cols>
    <col min="1" max="1" width="1.7109375" style="1" customWidth="1"/>
    <col min="2" max="2" width="12.42578125" style="1" customWidth="1"/>
    <col min="3" max="3" width="8.85546875" style="1" customWidth="1"/>
    <col min="4" max="4" width="9.5703125" style="1" customWidth="1"/>
    <col min="5" max="5" width="13.5703125" style="1" customWidth="1"/>
    <col min="6" max="6" width="11.7109375" style="1" customWidth="1"/>
    <col min="7" max="7" width="10.28515625" style="1" customWidth="1"/>
    <col min="8" max="8" width="10.7109375" style="1" customWidth="1"/>
    <col min="9" max="10" width="13.28515625" style="1" customWidth="1"/>
    <col min="11" max="11" width="20.28515625" style="1" customWidth="1"/>
    <col min="12" max="12" width="3.5703125" style="2" bestFit="1" customWidth="1"/>
    <col min="13" max="13" width="1.7109375" style="3" customWidth="1"/>
    <col min="14" max="16384" width="9.140625" style="1"/>
  </cols>
  <sheetData>
    <row r="1" spans="2:13" ht="14.25" thickBot="1" x14ac:dyDescent="0.3"/>
    <row r="2" spans="2:13" x14ac:dyDescent="0.25">
      <c r="B2" s="124"/>
      <c r="C2" s="4" t="s">
        <v>14</v>
      </c>
      <c r="D2" s="106" t="s">
        <v>13</v>
      </c>
      <c r="E2" s="107"/>
      <c r="F2" s="108" t="s">
        <v>34</v>
      </c>
      <c r="G2" s="109"/>
      <c r="H2" s="109"/>
      <c r="I2" s="109"/>
      <c r="J2" s="110"/>
      <c r="K2" s="129" t="s">
        <v>30</v>
      </c>
    </row>
    <row r="3" spans="2:13" ht="15.75" customHeight="1" thickBot="1" x14ac:dyDescent="0.3">
      <c r="B3" s="125"/>
      <c r="C3" s="5" t="s">
        <v>32</v>
      </c>
      <c r="D3" s="114" t="s">
        <v>33</v>
      </c>
      <c r="E3" s="115"/>
      <c r="F3" s="111"/>
      <c r="G3" s="112"/>
      <c r="H3" s="112"/>
      <c r="I3" s="112"/>
      <c r="J3" s="113"/>
      <c r="K3" s="130"/>
    </row>
    <row r="4" spans="2:13" ht="25.5" customHeight="1" thickBot="1" x14ac:dyDescent="0.3">
      <c r="B4" s="126"/>
      <c r="C4" s="39" t="s">
        <v>23</v>
      </c>
      <c r="D4" s="40"/>
      <c r="E4" s="41"/>
      <c r="F4" s="6">
        <v>46204</v>
      </c>
      <c r="G4" s="127" t="s">
        <v>24</v>
      </c>
      <c r="H4" s="128"/>
      <c r="I4" s="6" t="s">
        <v>25</v>
      </c>
      <c r="J4" s="7" t="s">
        <v>31</v>
      </c>
      <c r="K4" s="131"/>
    </row>
    <row r="5" spans="2:13" ht="6" customHeight="1" thickBot="1" x14ac:dyDescent="0.3"/>
    <row r="6" spans="2:13" ht="25.5" hidden="1" customHeight="1" x14ac:dyDescent="0.25">
      <c r="B6" s="74"/>
      <c r="C6" s="75"/>
      <c r="D6" s="75"/>
      <c r="E6" s="75"/>
      <c r="F6" s="75"/>
      <c r="G6" s="76"/>
      <c r="H6" s="76"/>
      <c r="I6" s="76"/>
      <c r="J6" s="76"/>
      <c r="K6" s="77"/>
    </row>
    <row r="7" spans="2:13" ht="15.95" customHeight="1" thickBot="1" x14ac:dyDescent="0.3">
      <c r="B7" s="95" t="s">
        <v>19</v>
      </c>
      <c r="C7" s="96"/>
      <c r="D7" s="96"/>
      <c r="E7" s="97"/>
      <c r="F7" s="8">
        <f>AVERAGE(F15,F20,F28,F36,F41,F48,F53)</f>
        <v>1</v>
      </c>
      <c r="G7" s="78" t="s">
        <v>7</v>
      </c>
      <c r="H7" s="79"/>
      <c r="I7" s="79"/>
      <c r="J7" s="79"/>
      <c r="K7" s="80"/>
    </row>
    <row r="8" spans="2:13" ht="15.95" customHeight="1" x14ac:dyDescent="0.25">
      <c r="B8" s="9" t="s">
        <v>22</v>
      </c>
      <c r="C8" s="89">
        <f ca="1">TODAY()</f>
        <v>46202</v>
      </c>
      <c r="D8" s="90"/>
      <c r="E8" s="10" t="str">
        <f ca="1">IF(F8&gt;30,"EM DIA",
 IF(AND(F8&lt;=30,F8&gt;15),"IMPORTANTE",
  IF(AND(F8&lt;=15,F8&gt;7),"PRIORIDADE",
   IF(AND(F8&lt;=7,F8&gt;=0),"URGENTE",
    IF(AND(F8&lt;0,F8&gt;=-30),"EM ATRASO","")))))</f>
        <v/>
      </c>
      <c r="F8" s="11">
        <f ca="1">C11-C8</f>
        <v>-46172</v>
      </c>
      <c r="G8" s="12"/>
      <c r="H8" s="13"/>
      <c r="I8" s="13"/>
      <c r="J8" s="13"/>
      <c r="K8" s="14"/>
    </row>
    <row r="9" spans="2:13" ht="16.5" customHeight="1" x14ac:dyDescent="0.25">
      <c r="B9" s="15" t="s">
        <v>15</v>
      </c>
      <c r="C9" s="100"/>
      <c r="D9" s="101"/>
      <c r="E9" s="102"/>
      <c r="F9" s="16">
        <f ca="1">C9-C8</f>
        <v>-46202</v>
      </c>
      <c r="G9" s="81" t="s">
        <v>35</v>
      </c>
      <c r="H9" s="82"/>
      <c r="I9" s="17">
        <f>G15</f>
        <v>1</v>
      </c>
      <c r="J9" s="17">
        <f>G41</f>
        <v>1</v>
      </c>
      <c r="K9" s="37" t="s">
        <v>57</v>
      </c>
      <c r="M9" s="3" t="s">
        <v>9</v>
      </c>
    </row>
    <row r="10" spans="2:13" ht="16.5" customHeight="1" x14ac:dyDescent="0.25">
      <c r="B10" s="15" t="s">
        <v>16</v>
      </c>
      <c r="C10" s="100">
        <f>C9+25</f>
        <v>25</v>
      </c>
      <c r="D10" s="101"/>
      <c r="E10" s="102"/>
      <c r="F10" s="16">
        <f ca="1">C10-C8</f>
        <v>-46177</v>
      </c>
      <c r="G10" s="81" t="s">
        <v>54</v>
      </c>
      <c r="H10" s="82"/>
      <c r="I10" s="17">
        <f>G20</f>
        <v>1</v>
      </c>
      <c r="J10" s="17">
        <f>G48</f>
        <v>1</v>
      </c>
      <c r="K10" s="37" t="s">
        <v>58</v>
      </c>
      <c r="M10" s="3" t="s">
        <v>11</v>
      </c>
    </row>
    <row r="11" spans="2:13" ht="16.5" customHeight="1" x14ac:dyDescent="0.25">
      <c r="B11" s="15" t="s">
        <v>17</v>
      </c>
      <c r="C11" s="100">
        <f>C10+5</f>
        <v>30</v>
      </c>
      <c r="D11" s="101"/>
      <c r="E11" s="102"/>
      <c r="F11" s="16">
        <f ca="1">C11-C8</f>
        <v>-46172</v>
      </c>
      <c r="G11" s="81" t="s">
        <v>55</v>
      </c>
      <c r="H11" s="82"/>
      <c r="I11" s="17">
        <f>G28</f>
        <v>1</v>
      </c>
      <c r="J11" s="17">
        <f>G53</f>
        <v>1</v>
      </c>
      <c r="K11" s="37" t="s">
        <v>59</v>
      </c>
      <c r="M11" s="3" t="s">
        <v>29</v>
      </c>
    </row>
    <row r="12" spans="2:13" ht="16.5" customHeight="1" thickBot="1" x14ac:dyDescent="0.3">
      <c r="B12" s="18" t="s">
        <v>18</v>
      </c>
      <c r="C12" s="98" t="s">
        <v>20</v>
      </c>
      <c r="D12" s="99"/>
      <c r="E12" s="116" t="s">
        <v>21</v>
      </c>
      <c r="F12" s="117"/>
      <c r="G12" s="118" t="s">
        <v>56</v>
      </c>
      <c r="H12" s="119"/>
      <c r="I12" s="19">
        <f>G36</f>
        <v>1</v>
      </c>
      <c r="J12" s="20" t="s">
        <v>8</v>
      </c>
      <c r="K12" s="21">
        <f>AVERAGE(I9:I12,J9:J11)</f>
        <v>1</v>
      </c>
      <c r="M12" s="3" t="s">
        <v>10</v>
      </c>
    </row>
    <row r="13" spans="2:13" ht="16.5" customHeight="1" x14ac:dyDescent="0.25">
      <c r="B13" s="22"/>
      <c r="C13" s="22"/>
      <c r="D13" s="22"/>
      <c r="E13" s="22"/>
      <c r="F13" s="22"/>
      <c r="G13" s="23"/>
      <c r="H13" s="23"/>
      <c r="I13" s="24"/>
      <c r="J13" s="25"/>
      <c r="K13" s="26"/>
    </row>
    <row r="14" spans="2:13" ht="15.95" customHeight="1" x14ac:dyDescent="0.25">
      <c r="B14" s="55" t="s">
        <v>35</v>
      </c>
      <c r="C14" s="55" t="s">
        <v>0</v>
      </c>
      <c r="D14" s="55" t="s">
        <v>0</v>
      </c>
      <c r="E14" s="55" t="s">
        <v>0</v>
      </c>
      <c r="F14" s="55" t="s">
        <v>0</v>
      </c>
      <c r="G14" s="27" t="s">
        <v>1</v>
      </c>
      <c r="H14" s="120"/>
      <c r="I14" s="120"/>
      <c r="J14" s="120"/>
      <c r="K14" s="120"/>
    </row>
    <row r="15" spans="2:13" ht="15.95" customHeight="1" x14ac:dyDescent="0.25">
      <c r="B15" s="28" t="s">
        <v>2</v>
      </c>
      <c r="C15" s="29"/>
      <c r="D15" s="29"/>
      <c r="E15" s="29"/>
      <c r="F15" s="30">
        <f>AVERAGE(M16:M17)</f>
        <v>1</v>
      </c>
      <c r="G15" s="30">
        <f>M18</f>
        <v>1</v>
      </c>
      <c r="H15" s="121"/>
      <c r="I15" s="122"/>
      <c r="J15" s="122"/>
      <c r="K15" s="123"/>
    </row>
    <row r="16" spans="2:13" ht="16.5" customHeight="1" x14ac:dyDescent="0.25">
      <c r="B16" s="51" t="s">
        <v>43</v>
      </c>
      <c r="C16" s="51"/>
      <c r="D16" s="51"/>
      <c r="E16" s="51"/>
      <c r="F16" s="51"/>
      <c r="G16" s="31" t="s">
        <v>9</v>
      </c>
      <c r="H16" s="91"/>
      <c r="I16" s="92"/>
      <c r="J16" s="92"/>
      <c r="K16" s="93"/>
      <c r="L16" s="2" t="str">
        <f t="shared" ref="L16:L17" si="0">IF(G16&gt;="SIM","100%","0%")</f>
        <v>100%</v>
      </c>
      <c r="M16" s="3">
        <f t="shared" ref="M16:M17" si="1">AVERAGE(IF(G16&gt;="SIM","100%","0%"))</f>
        <v>1</v>
      </c>
    </row>
    <row r="17" spans="2:13" ht="16.5" customHeight="1" x14ac:dyDescent="0.25">
      <c r="B17" s="105" t="s">
        <v>36</v>
      </c>
      <c r="C17" s="105"/>
      <c r="D17" s="105"/>
      <c r="E17" s="105"/>
      <c r="F17" s="105"/>
      <c r="G17" s="31" t="s">
        <v>9</v>
      </c>
      <c r="H17" s="91"/>
      <c r="I17" s="92"/>
      <c r="J17" s="92"/>
      <c r="K17" s="93"/>
      <c r="L17" s="2" t="str">
        <f t="shared" si="0"/>
        <v>100%</v>
      </c>
      <c r="M17" s="3">
        <f t="shared" si="1"/>
        <v>1</v>
      </c>
    </row>
    <row r="18" spans="2:13" ht="15.75" customHeight="1" x14ac:dyDescent="0.25">
      <c r="B18" s="59" t="s">
        <v>6</v>
      </c>
      <c r="C18" s="60"/>
      <c r="D18" s="60"/>
      <c r="E18" s="61"/>
      <c r="F18" s="62" t="s">
        <v>29</v>
      </c>
      <c r="G18" s="63"/>
      <c r="H18" s="42"/>
      <c r="I18" s="43"/>
      <c r="J18" s="43"/>
      <c r="K18" s="44"/>
      <c r="M18" s="3">
        <f>AVERAGE(IF(F18&gt;="NÃO CONFORME","0%","100%"))</f>
        <v>1</v>
      </c>
    </row>
    <row r="19" spans="2:13" ht="15.95" customHeight="1" x14ac:dyDescent="0.25">
      <c r="B19" s="55" t="s">
        <v>37</v>
      </c>
      <c r="C19" s="55" t="s">
        <v>0</v>
      </c>
      <c r="D19" s="55" t="s">
        <v>0</v>
      </c>
      <c r="E19" s="55" t="s">
        <v>0</v>
      </c>
      <c r="F19" s="55" t="s">
        <v>0</v>
      </c>
      <c r="G19" s="27" t="s">
        <v>1</v>
      </c>
      <c r="H19" s="56"/>
      <c r="I19" s="57"/>
      <c r="J19" s="57"/>
      <c r="K19" s="58"/>
    </row>
    <row r="20" spans="2:13" ht="15.95" customHeight="1" x14ac:dyDescent="0.25">
      <c r="B20" s="83" t="s">
        <v>2</v>
      </c>
      <c r="C20" s="84"/>
      <c r="D20" s="84"/>
      <c r="E20" s="85"/>
      <c r="F20" s="30">
        <f>AVERAGE(M21:M25)</f>
        <v>1</v>
      </c>
      <c r="G20" s="30">
        <f>M26</f>
        <v>1</v>
      </c>
      <c r="H20" s="86"/>
      <c r="I20" s="87"/>
      <c r="J20" s="87"/>
      <c r="K20" s="88"/>
    </row>
    <row r="21" spans="2:13" ht="15.95" customHeight="1" x14ac:dyDescent="0.25">
      <c r="B21" s="51" t="s">
        <v>39</v>
      </c>
      <c r="C21" s="51"/>
      <c r="D21" s="51"/>
      <c r="E21" s="51"/>
      <c r="F21" s="51"/>
      <c r="G21" s="31" t="s">
        <v>9</v>
      </c>
      <c r="H21" s="45"/>
      <c r="I21" s="46"/>
      <c r="J21" s="46"/>
      <c r="K21" s="47"/>
      <c r="L21" s="2" t="str">
        <f t="shared" ref="L21:L33" si="2">IF(G21&gt;="SIM","100%","0%")</f>
        <v>100%</v>
      </c>
      <c r="M21" s="3">
        <f>AVERAGE(IF(G21&gt;="SIM","100%","0%"))</f>
        <v>1</v>
      </c>
    </row>
    <row r="22" spans="2:13" ht="15.95" customHeight="1" x14ac:dyDescent="0.25">
      <c r="B22" s="51" t="s">
        <v>40</v>
      </c>
      <c r="C22" s="51"/>
      <c r="D22" s="51"/>
      <c r="E22" s="51"/>
      <c r="F22" s="51"/>
      <c r="G22" s="31" t="s">
        <v>9</v>
      </c>
      <c r="H22" s="34"/>
      <c r="I22" s="35"/>
      <c r="J22" s="35"/>
      <c r="K22" s="36"/>
      <c r="L22" s="2" t="str">
        <f t="shared" si="2"/>
        <v>100%</v>
      </c>
    </row>
    <row r="23" spans="2:13" ht="15.95" customHeight="1" x14ac:dyDescent="0.25">
      <c r="B23" s="51" t="s">
        <v>41</v>
      </c>
      <c r="C23" s="51"/>
      <c r="D23" s="51"/>
      <c r="E23" s="51"/>
      <c r="F23" s="51"/>
      <c r="G23" s="31" t="s">
        <v>9</v>
      </c>
      <c r="H23" s="34"/>
      <c r="I23" s="35"/>
      <c r="J23" s="35"/>
      <c r="K23" s="36"/>
      <c r="L23" s="2" t="str">
        <f t="shared" si="2"/>
        <v>100%</v>
      </c>
    </row>
    <row r="24" spans="2:13" ht="15.95" customHeight="1" x14ac:dyDescent="0.25">
      <c r="B24" s="51" t="s">
        <v>42</v>
      </c>
      <c r="C24" s="51"/>
      <c r="D24" s="51"/>
      <c r="E24" s="51"/>
      <c r="F24" s="51"/>
      <c r="G24" s="31" t="s">
        <v>9</v>
      </c>
      <c r="H24" s="34"/>
      <c r="I24" s="35"/>
      <c r="J24" s="35"/>
      <c r="K24" s="36"/>
      <c r="L24" s="2" t="str">
        <f t="shared" si="2"/>
        <v>100%</v>
      </c>
    </row>
    <row r="25" spans="2:13" ht="15.95" customHeight="1" x14ac:dyDescent="0.25">
      <c r="B25" s="51" t="s">
        <v>44</v>
      </c>
      <c r="C25" s="51"/>
      <c r="D25" s="51"/>
      <c r="E25" s="51"/>
      <c r="F25" s="51"/>
      <c r="G25" s="31" t="s">
        <v>9</v>
      </c>
      <c r="H25" s="45"/>
      <c r="I25" s="46"/>
      <c r="J25" s="46"/>
      <c r="K25" s="47"/>
      <c r="L25" s="2" t="str">
        <f t="shared" si="2"/>
        <v>100%</v>
      </c>
      <c r="M25" s="3">
        <f t="shared" ref="M25:M33" si="3">AVERAGE(IF(G25&gt;="SIM","100%","0%"))</f>
        <v>1</v>
      </c>
    </row>
    <row r="26" spans="2:13" ht="15.75" customHeight="1" x14ac:dyDescent="0.25">
      <c r="B26" s="59" t="s">
        <v>6</v>
      </c>
      <c r="C26" s="60"/>
      <c r="D26" s="60"/>
      <c r="E26" s="61"/>
      <c r="F26" s="62" t="s">
        <v>29</v>
      </c>
      <c r="G26" s="63"/>
      <c r="H26" s="42"/>
      <c r="I26" s="43"/>
      <c r="J26" s="43"/>
      <c r="K26" s="44"/>
      <c r="M26" s="3">
        <f>AVERAGE(IF(F26&gt;="NÃO CONFORME","0%","100%"))</f>
        <v>1</v>
      </c>
    </row>
    <row r="27" spans="2:13" ht="15.95" customHeight="1" x14ac:dyDescent="0.25">
      <c r="B27" s="55" t="s">
        <v>38</v>
      </c>
      <c r="C27" s="55" t="s">
        <v>0</v>
      </c>
      <c r="D27" s="55" t="s">
        <v>0</v>
      </c>
      <c r="E27" s="55" t="s">
        <v>0</v>
      </c>
      <c r="F27" s="55" t="s">
        <v>0</v>
      </c>
      <c r="G27" s="27" t="s">
        <v>1</v>
      </c>
      <c r="H27" s="56"/>
      <c r="I27" s="57"/>
      <c r="J27" s="57"/>
      <c r="K27" s="58"/>
      <c r="L27" s="2" t="str">
        <f t="shared" si="2"/>
        <v>100%</v>
      </c>
    </row>
    <row r="28" spans="2:13" ht="15.95" customHeight="1" x14ac:dyDescent="0.25">
      <c r="B28" s="83" t="s">
        <v>2</v>
      </c>
      <c r="C28" s="84"/>
      <c r="D28" s="84"/>
      <c r="E28" s="85"/>
      <c r="F28" s="30">
        <f>AVERAGE(M29:M33)</f>
        <v>1</v>
      </c>
      <c r="G28" s="30">
        <f>M34</f>
        <v>1</v>
      </c>
      <c r="H28" s="86"/>
      <c r="I28" s="87"/>
      <c r="J28" s="87"/>
      <c r="K28" s="88"/>
      <c r="L28" s="2" t="str">
        <f>IF(G28&gt;="SIM","100%","0%")</f>
        <v>0%</v>
      </c>
    </row>
    <row r="29" spans="2:13" ht="15.95" customHeight="1" x14ac:dyDescent="0.25">
      <c r="B29" s="51" t="s">
        <v>45</v>
      </c>
      <c r="C29" s="51"/>
      <c r="D29" s="51"/>
      <c r="E29" s="51"/>
      <c r="F29" s="51"/>
      <c r="G29" s="31" t="s">
        <v>9</v>
      </c>
      <c r="H29" s="45"/>
      <c r="I29" s="46"/>
      <c r="J29" s="46"/>
      <c r="K29" s="47"/>
      <c r="L29" s="2" t="str">
        <f t="shared" si="2"/>
        <v>100%</v>
      </c>
      <c r="M29" s="3">
        <f t="shared" si="3"/>
        <v>1</v>
      </c>
    </row>
    <row r="30" spans="2:13" ht="15.95" customHeight="1" x14ac:dyDescent="0.25">
      <c r="B30" s="51" t="s">
        <v>47</v>
      </c>
      <c r="C30" s="51"/>
      <c r="D30" s="51"/>
      <c r="E30" s="51"/>
      <c r="F30" s="51"/>
      <c r="G30" s="31" t="s">
        <v>9</v>
      </c>
      <c r="H30" s="34"/>
      <c r="I30" s="35"/>
      <c r="J30" s="35"/>
      <c r="K30" s="36"/>
      <c r="L30" s="2" t="str">
        <f t="shared" si="2"/>
        <v>100%</v>
      </c>
    </row>
    <row r="31" spans="2:13" ht="15.95" customHeight="1" x14ac:dyDescent="0.25">
      <c r="B31" s="51" t="s">
        <v>46</v>
      </c>
      <c r="C31" s="51"/>
      <c r="D31" s="51"/>
      <c r="E31" s="51"/>
      <c r="F31" s="51"/>
      <c r="G31" s="31" t="s">
        <v>9</v>
      </c>
      <c r="H31" s="34"/>
      <c r="I31" s="35"/>
      <c r="J31" s="35"/>
      <c r="K31" s="36"/>
      <c r="L31" s="2" t="str">
        <f t="shared" si="2"/>
        <v>100%</v>
      </c>
    </row>
    <row r="32" spans="2:13" ht="15.95" customHeight="1" x14ac:dyDescent="0.25">
      <c r="B32" s="51" t="s">
        <v>48</v>
      </c>
      <c r="C32" s="51"/>
      <c r="D32" s="51"/>
      <c r="E32" s="51"/>
      <c r="F32" s="51"/>
      <c r="G32" s="31" t="s">
        <v>9</v>
      </c>
      <c r="H32" s="34"/>
      <c r="I32" s="35"/>
      <c r="J32" s="35"/>
      <c r="K32" s="36"/>
      <c r="L32" s="2" t="str">
        <f t="shared" si="2"/>
        <v>100%</v>
      </c>
    </row>
    <row r="33" spans="2:13" ht="15.95" customHeight="1" x14ac:dyDescent="0.25">
      <c r="B33" s="51" t="s">
        <v>49</v>
      </c>
      <c r="C33" s="51"/>
      <c r="D33" s="51"/>
      <c r="E33" s="51"/>
      <c r="F33" s="51"/>
      <c r="G33" s="31" t="s">
        <v>9</v>
      </c>
      <c r="H33" s="45"/>
      <c r="I33" s="46"/>
      <c r="J33" s="46"/>
      <c r="K33" s="47"/>
      <c r="L33" s="2" t="str">
        <f t="shared" si="2"/>
        <v>100%</v>
      </c>
      <c r="M33" s="3">
        <f t="shared" si="3"/>
        <v>1</v>
      </c>
    </row>
    <row r="34" spans="2:13" ht="15.75" customHeight="1" x14ac:dyDescent="0.25">
      <c r="B34" s="59" t="s">
        <v>6</v>
      </c>
      <c r="C34" s="60"/>
      <c r="D34" s="60"/>
      <c r="E34" s="61"/>
      <c r="F34" s="62" t="s">
        <v>29</v>
      </c>
      <c r="G34" s="63"/>
      <c r="H34" s="42"/>
      <c r="I34" s="43"/>
      <c r="J34" s="43"/>
      <c r="K34" s="44"/>
      <c r="M34" s="3">
        <f>AVERAGE(IF(F34&gt;="NÃO CONFORME","0%","100%"))</f>
        <v>1</v>
      </c>
    </row>
    <row r="35" spans="2:13" ht="15.95" customHeight="1" x14ac:dyDescent="0.25">
      <c r="B35" s="55" t="s">
        <v>50</v>
      </c>
      <c r="C35" s="55" t="s">
        <v>0</v>
      </c>
      <c r="D35" s="55" t="s">
        <v>0</v>
      </c>
      <c r="E35" s="55" t="s">
        <v>0</v>
      </c>
      <c r="F35" s="55" t="s">
        <v>0</v>
      </c>
      <c r="G35" s="27" t="s">
        <v>1</v>
      </c>
      <c r="H35" s="56"/>
      <c r="I35" s="57"/>
      <c r="J35" s="57"/>
      <c r="K35" s="58"/>
    </row>
    <row r="36" spans="2:13" ht="15.95" customHeight="1" x14ac:dyDescent="0.25">
      <c r="B36" s="68" t="s">
        <v>2</v>
      </c>
      <c r="C36" s="69"/>
      <c r="D36" s="69"/>
      <c r="E36" s="70"/>
      <c r="F36" s="30">
        <f>AVERAGE(M37:M38)</f>
        <v>1</v>
      </c>
      <c r="G36" s="33">
        <f>M39</f>
        <v>1</v>
      </c>
      <c r="H36" s="71"/>
      <c r="I36" s="72"/>
      <c r="J36" s="72"/>
      <c r="K36" s="73"/>
    </row>
    <row r="37" spans="2:13" ht="15.95" customHeight="1" x14ac:dyDescent="0.25">
      <c r="B37" s="51" t="s">
        <v>69</v>
      </c>
      <c r="C37" s="51"/>
      <c r="D37" s="51"/>
      <c r="E37" s="51"/>
      <c r="F37" s="51"/>
      <c r="G37" s="31" t="s">
        <v>9</v>
      </c>
      <c r="H37" s="45"/>
      <c r="I37" s="46"/>
      <c r="J37" s="46"/>
      <c r="K37" s="47"/>
      <c r="L37" s="2" t="str">
        <f>IF(G37&gt;="SIM","100%","0%")</f>
        <v>100%</v>
      </c>
      <c r="M37" s="3">
        <f t="shared" ref="M37:M38" si="4">AVERAGE(IF(G37&gt;="SIM","100%","0%"))</f>
        <v>1</v>
      </c>
    </row>
    <row r="38" spans="2:13" ht="15.95" customHeight="1" x14ac:dyDescent="0.25">
      <c r="B38" s="51" t="s">
        <v>60</v>
      </c>
      <c r="C38" s="51"/>
      <c r="D38" s="51"/>
      <c r="E38" s="51"/>
      <c r="F38" s="51"/>
      <c r="G38" s="31" t="s">
        <v>9</v>
      </c>
      <c r="H38" s="45"/>
      <c r="I38" s="46"/>
      <c r="J38" s="46"/>
      <c r="K38" s="47"/>
      <c r="L38" s="2" t="str">
        <f>IF(G38&gt;="SIM","100%","0%")</f>
        <v>100%</v>
      </c>
      <c r="M38" s="3">
        <f t="shared" si="4"/>
        <v>1</v>
      </c>
    </row>
    <row r="39" spans="2:13" ht="15.75" customHeight="1" x14ac:dyDescent="0.25">
      <c r="B39" s="59" t="s">
        <v>6</v>
      </c>
      <c r="C39" s="60"/>
      <c r="D39" s="60"/>
      <c r="E39" s="61"/>
      <c r="F39" s="62" t="s">
        <v>29</v>
      </c>
      <c r="G39" s="63"/>
      <c r="H39" s="42"/>
      <c r="I39" s="43"/>
      <c r="J39" s="43"/>
      <c r="K39" s="44"/>
      <c r="M39" s="3">
        <f>AVERAGE(IF(F39&gt;="NÃO CONFORME","0%","100%"))</f>
        <v>1</v>
      </c>
    </row>
    <row r="40" spans="2:13" ht="15.95" customHeight="1" x14ac:dyDescent="0.25">
      <c r="B40" s="55" t="s">
        <v>51</v>
      </c>
      <c r="C40" s="55" t="s">
        <v>0</v>
      </c>
      <c r="D40" s="55" t="s">
        <v>0</v>
      </c>
      <c r="E40" s="55" t="s">
        <v>0</v>
      </c>
      <c r="F40" s="55" t="s">
        <v>0</v>
      </c>
      <c r="G40" s="27" t="s">
        <v>1</v>
      </c>
      <c r="H40" s="56"/>
      <c r="I40" s="57"/>
      <c r="J40" s="57"/>
      <c r="K40" s="58"/>
    </row>
    <row r="41" spans="2:13" ht="15.95" customHeight="1" x14ac:dyDescent="0.25">
      <c r="B41" s="68" t="s">
        <v>2</v>
      </c>
      <c r="C41" s="69"/>
      <c r="D41" s="69"/>
      <c r="E41" s="70"/>
      <c r="F41" s="30">
        <f>AVERAGE(M42:M45)</f>
        <v>1</v>
      </c>
      <c r="G41" s="33">
        <f>M46</f>
        <v>1</v>
      </c>
      <c r="H41" s="71"/>
      <c r="I41" s="72"/>
      <c r="J41" s="72"/>
      <c r="K41" s="73"/>
    </row>
    <row r="42" spans="2:13" ht="15.95" customHeight="1" x14ac:dyDescent="0.25">
      <c r="B42" s="51" t="s">
        <v>61</v>
      </c>
      <c r="C42" s="51"/>
      <c r="D42" s="51"/>
      <c r="E42" s="51"/>
      <c r="F42" s="51"/>
      <c r="G42" s="31" t="s">
        <v>9</v>
      </c>
      <c r="H42" s="45"/>
      <c r="I42" s="46"/>
      <c r="J42" s="46"/>
      <c r="K42" s="47"/>
      <c r="L42" s="2" t="str">
        <f>IF(G42&gt;="SIM","100%","0%")</f>
        <v>100%</v>
      </c>
      <c r="M42" s="3">
        <f t="shared" ref="M42" si="5">AVERAGE(IF(G42&gt;="SIM","100%","0%"))</f>
        <v>1</v>
      </c>
    </row>
    <row r="43" spans="2:13" ht="16.5" customHeight="1" x14ac:dyDescent="0.25">
      <c r="B43" s="51" t="s">
        <v>62</v>
      </c>
      <c r="C43" s="51"/>
      <c r="D43" s="51"/>
      <c r="E43" s="51"/>
      <c r="F43" s="51"/>
      <c r="G43" s="31" t="s">
        <v>9</v>
      </c>
      <c r="H43" s="45"/>
      <c r="I43" s="46"/>
      <c r="J43" s="46"/>
      <c r="K43" s="47"/>
      <c r="L43" s="2" t="str">
        <f>IF(G43&gt;="SIM","100%","0%")</f>
        <v>100%</v>
      </c>
      <c r="M43" s="3">
        <f t="shared" ref="M43" si="6">AVERAGE(IF(G43&gt;="SIM","100%","0%"))</f>
        <v>1</v>
      </c>
    </row>
    <row r="44" spans="2:13" ht="16.5" customHeight="1" x14ac:dyDescent="0.25">
      <c r="B44" s="52" t="s">
        <v>63</v>
      </c>
      <c r="C44" s="53"/>
      <c r="D44" s="53"/>
      <c r="E44" s="53"/>
      <c r="F44" s="54"/>
      <c r="G44" s="31" t="s">
        <v>9</v>
      </c>
      <c r="H44" s="45"/>
      <c r="I44" s="46"/>
      <c r="J44" s="46"/>
      <c r="K44" s="47"/>
      <c r="L44" s="2" t="str">
        <f>IF(G44&gt;="SIM","100%","0%")</f>
        <v>100%</v>
      </c>
      <c r="M44" s="3">
        <f t="shared" ref="M44" si="7">AVERAGE(IF(G44&gt;="SIM","100%","0%"))</f>
        <v>1</v>
      </c>
    </row>
    <row r="45" spans="2:13" ht="16.5" customHeight="1" x14ac:dyDescent="0.25">
      <c r="B45" s="52" t="s">
        <v>64</v>
      </c>
      <c r="C45" s="53"/>
      <c r="D45" s="53"/>
      <c r="E45" s="53"/>
      <c r="F45" s="54"/>
      <c r="G45" s="32" t="s">
        <v>9</v>
      </c>
      <c r="H45" s="34"/>
      <c r="I45" s="35"/>
      <c r="J45" s="35"/>
      <c r="K45" s="36"/>
      <c r="L45" s="2" t="str">
        <f>IF(G45&gt;="SIM","100%","0%")</f>
        <v>100%</v>
      </c>
    </row>
    <row r="46" spans="2:13" ht="15.75" customHeight="1" x14ac:dyDescent="0.25">
      <c r="B46" s="59" t="s">
        <v>6</v>
      </c>
      <c r="C46" s="60"/>
      <c r="D46" s="60"/>
      <c r="E46" s="61"/>
      <c r="F46" s="62" t="s">
        <v>29</v>
      </c>
      <c r="G46" s="63"/>
      <c r="H46" s="42"/>
      <c r="I46" s="43"/>
      <c r="J46" s="43"/>
      <c r="K46" s="44"/>
      <c r="M46" s="3">
        <f>AVERAGE(IF(F46&gt;="NÃO CONFORME","0%","100%"))</f>
        <v>1</v>
      </c>
    </row>
    <row r="47" spans="2:13" ht="15.95" customHeight="1" x14ac:dyDescent="0.25">
      <c r="B47" s="55" t="s">
        <v>52</v>
      </c>
      <c r="C47" s="55" t="s">
        <v>0</v>
      </c>
      <c r="D47" s="55" t="s">
        <v>0</v>
      </c>
      <c r="E47" s="55" t="s">
        <v>0</v>
      </c>
      <c r="F47" s="55" t="s">
        <v>0</v>
      </c>
      <c r="G47" s="27" t="s">
        <v>1</v>
      </c>
      <c r="H47" s="56"/>
      <c r="I47" s="57"/>
      <c r="J47" s="57"/>
      <c r="K47" s="58"/>
    </row>
    <row r="48" spans="2:13" ht="15.95" customHeight="1" x14ac:dyDescent="0.25">
      <c r="B48" s="68" t="s">
        <v>2</v>
      </c>
      <c r="C48" s="69"/>
      <c r="D48" s="69"/>
      <c r="E48" s="70"/>
      <c r="F48" s="30">
        <f>AVERAGE(M49:M50)</f>
        <v>1</v>
      </c>
      <c r="G48" s="33">
        <f>M51</f>
        <v>1</v>
      </c>
      <c r="H48" s="71"/>
      <c r="I48" s="72"/>
      <c r="J48" s="72"/>
      <c r="K48" s="73"/>
    </row>
    <row r="49" spans="2:13" ht="15.95" customHeight="1" x14ac:dyDescent="0.25">
      <c r="B49" s="48" t="s">
        <v>65</v>
      </c>
      <c r="C49" s="49"/>
      <c r="D49" s="49"/>
      <c r="E49" s="49"/>
      <c r="F49" s="50"/>
      <c r="G49" s="31" t="s">
        <v>9</v>
      </c>
      <c r="H49" s="45"/>
      <c r="I49" s="46"/>
      <c r="J49" s="46"/>
      <c r="K49" s="47"/>
      <c r="L49" s="2" t="str">
        <f>IF(G49&gt;="SIM","100%","0%")</f>
        <v>100%</v>
      </c>
      <c r="M49" s="3">
        <f t="shared" ref="M49" si="8">AVERAGE(IF(G49&gt;="SIM","100%","0%"))</f>
        <v>1</v>
      </c>
    </row>
    <row r="50" spans="2:13" ht="16.5" customHeight="1" x14ac:dyDescent="0.25">
      <c r="B50" s="51" t="s">
        <v>66</v>
      </c>
      <c r="C50" s="51"/>
      <c r="D50" s="51"/>
      <c r="E50" s="51"/>
      <c r="F50" s="51"/>
      <c r="G50" s="31" t="s">
        <v>9</v>
      </c>
      <c r="H50" s="45"/>
      <c r="I50" s="46"/>
      <c r="J50" s="46"/>
      <c r="K50" s="47"/>
      <c r="L50" s="2" t="str">
        <f>IF(G50&gt;="SIM","100%","0%")</f>
        <v>100%</v>
      </c>
      <c r="M50" s="3">
        <f t="shared" ref="M50" si="9">AVERAGE(IF(G50&gt;="SIM","100%","0%"))</f>
        <v>1</v>
      </c>
    </row>
    <row r="51" spans="2:13" ht="15.75" customHeight="1" x14ac:dyDescent="0.25">
      <c r="B51" s="59" t="s">
        <v>6</v>
      </c>
      <c r="C51" s="60"/>
      <c r="D51" s="60"/>
      <c r="E51" s="61"/>
      <c r="F51" s="62" t="s">
        <v>29</v>
      </c>
      <c r="G51" s="63"/>
      <c r="H51" s="42"/>
      <c r="I51" s="43"/>
      <c r="J51" s="43"/>
      <c r="K51" s="44"/>
      <c r="M51" s="3">
        <f>AVERAGE(IF(F51&gt;="NÃO CONFORME","0%","100%"))</f>
        <v>1</v>
      </c>
    </row>
    <row r="52" spans="2:13" ht="15.95" customHeight="1" x14ac:dyDescent="0.25">
      <c r="B52" s="55" t="s">
        <v>53</v>
      </c>
      <c r="C52" s="55" t="s">
        <v>0</v>
      </c>
      <c r="D52" s="55" t="s">
        <v>0</v>
      </c>
      <c r="E52" s="55" t="s">
        <v>0</v>
      </c>
      <c r="F52" s="55" t="s">
        <v>0</v>
      </c>
      <c r="G52" s="27" t="s">
        <v>1</v>
      </c>
      <c r="H52" s="56"/>
      <c r="I52" s="57"/>
      <c r="J52" s="57"/>
      <c r="K52" s="58"/>
    </row>
    <row r="53" spans="2:13" ht="15.95" customHeight="1" x14ac:dyDescent="0.25">
      <c r="B53" s="68" t="s">
        <v>2</v>
      </c>
      <c r="C53" s="69"/>
      <c r="D53" s="69"/>
      <c r="E53" s="70"/>
      <c r="F53" s="30">
        <f>AVERAGE(M54:M55)</f>
        <v>1</v>
      </c>
      <c r="G53" s="33">
        <f>M66</f>
        <v>1</v>
      </c>
      <c r="H53" s="71"/>
      <c r="I53" s="72"/>
      <c r="J53" s="72"/>
      <c r="K53" s="73"/>
    </row>
    <row r="54" spans="2:13" ht="15.95" customHeight="1" x14ac:dyDescent="0.25">
      <c r="B54" s="51" t="s">
        <v>67</v>
      </c>
      <c r="C54" s="51"/>
      <c r="D54" s="51"/>
      <c r="E54" s="51"/>
      <c r="F54" s="51"/>
      <c r="G54" s="31" t="s">
        <v>9</v>
      </c>
      <c r="H54" s="45"/>
      <c r="I54" s="46"/>
      <c r="J54" s="46"/>
      <c r="K54" s="47"/>
      <c r="L54" s="2" t="str">
        <f>IF(G54&gt;="SIM","100%","0%")</f>
        <v>100%</v>
      </c>
      <c r="M54" s="3">
        <f t="shared" ref="M54" si="10">AVERAGE(IF(G54&gt;="SIM","100%","0%"))</f>
        <v>1</v>
      </c>
    </row>
    <row r="55" spans="2:13" ht="15.95" customHeight="1" x14ac:dyDescent="0.25">
      <c r="B55" s="51" t="s">
        <v>68</v>
      </c>
      <c r="C55" s="51"/>
      <c r="D55" s="51"/>
      <c r="E55" s="51"/>
      <c r="F55" s="51"/>
      <c r="G55" s="31" t="s">
        <v>9</v>
      </c>
      <c r="H55" s="45"/>
      <c r="I55" s="46"/>
      <c r="J55" s="46"/>
      <c r="K55" s="47"/>
      <c r="L55" s="2" t="str">
        <f>IF(G55&gt;="SIM","100%","0%")</f>
        <v>100%</v>
      </c>
      <c r="M55" s="3">
        <f t="shared" ref="M55" si="11">AVERAGE(IF(G55&gt;="SIM","100%","0%"))</f>
        <v>1</v>
      </c>
    </row>
    <row r="56" spans="2:13" ht="15.95" hidden="1" customHeight="1" x14ac:dyDescent="0.25">
      <c r="B56" s="52"/>
      <c r="C56" s="53"/>
      <c r="D56" s="53"/>
      <c r="E56" s="53"/>
      <c r="F56" s="54"/>
      <c r="G56" s="31"/>
      <c r="H56" s="45"/>
      <c r="I56" s="46"/>
      <c r="J56" s="46"/>
      <c r="K56" s="47"/>
      <c r="L56" s="2" t="str">
        <f>IF(G56&gt;="SIM","100%","0%")</f>
        <v>0%</v>
      </c>
      <c r="M56" s="3">
        <f t="shared" ref="M56" si="12">AVERAGE(IF(G56&gt;="SIM","100%","0%"))</f>
        <v>0</v>
      </c>
    </row>
    <row r="57" spans="2:13" ht="15.95" hidden="1" customHeight="1" x14ac:dyDescent="0.25">
      <c r="B57" s="52"/>
      <c r="C57" s="53"/>
      <c r="D57" s="53"/>
      <c r="E57" s="53"/>
      <c r="F57" s="54"/>
      <c r="G57" s="31"/>
      <c r="H57" s="45"/>
      <c r="I57" s="46"/>
      <c r="J57" s="46"/>
      <c r="K57" s="47"/>
      <c r="L57" s="2" t="str">
        <f>IF(G57&gt;="SIM","100%","0%")</f>
        <v>0%</v>
      </c>
      <c r="M57" s="3">
        <f t="shared" ref="M57:M64" si="13">AVERAGE(IF(G57&gt;="SIM","100%","0%"))</f>
        <v>0</v>
      </c>
    </row>
    <row r="58" spans="2:13" ht="15.95" hidden="1" customHeight="1" x14ac:dyDescent="0.25">
      <c r="B58" s="52"/>
      <c r="C58" s="53"/>
      <c r="D58" s="53"/>
      <c r="E58" s="53"/>
      <c r="F58" s="54"/>
      <c r="G58" s="31"/>
      <c r="H58" s="45"/>
      <c r="I58" s="46"/>
      <c r="J58" s="46"/>
      <c r="K58" s="47"/>
      <c r="M58" s="3">
        <f t="shared" si="13"/>
        <v>0</v>
      </c>
    </row>
    <row r="59" spans="2:13" ht="15.95" hidden="1" customHeight="1" x14ac:dyDescent="0.25">
      <c r="B59" s="52"/>
      <c r="C59" s="53"/>
      <c r="D59" s="53"/>
      <c r="E59" s="53"/>
      <c r="F59" s="54"/>
      <c r="G59" s="31"/>
      <c r="H59" s="45"/>
      <c r="I59" s="46"/>
      <c r="J59" s="46"/>
      <c r="K59" s="47"/>
      <c r="M59" s="3">
        <f t="shared" si="13"/>
        <v>0</v>
      </c>
    </row>
    <row r="60" spans="2:13" ht="15.95" hidden="1" customHeight="1" x14ac:dyDescent="0.25">
      <c r="B60" s="52"/>
      <c r="C60" s="53"/>
      <c r="D60" s="53"/>
      <c r="E60" s="53"/>
      <c r="F60" s="54"/>
      <c r="G60" s="31"/>
      <c r="H60" s="45"/>
      <c r="I60" s="46"/>
      <c r="J60" s="46"/>
      <c r="K60" s="47"/>
      <c r="M60" s="3">
        <f t="shared" si="13"/>
        <v>0</v>
      </c>
    </row>
    <row r="61" spans="2:13" ht="15.95" hidden="1" customHeight="1" x14ac:dyDescent="0.25">
      <c r="B61" s="52"/>
      <c r="C61" s="53"/>
      <c r="D61" s="53"/>
      <c r="E61" s="53"/>
      <c r="F61" s="54"/>
      <c r="G61" s="31"/>
      <c r="H61" s="45"/>
      <c r="I61" s="46"/>
      <c r="J61" s="46"/>
      <c r="K61" s="47"/>
      <c r="M61" s="3">
        <f t="shared" si="13"/>
        <v>0</v>
      </c>
    </row>
    <row r="62" spans="2:13" ht="15.95" hidden="1" customHeight="1" x14ac:dyDescent="0.25">
      <c r="B62" s="52"/>
      <c r="C62" s="53"/>
      <c r="D62" s="53"/>
      <c r="E62" s="53"/>
      <c r="F62" s="54"/>
      <c r="G62" s="31"/>
      <c r="H62" s="45"/>
      <c r="I62" s="46"/>
      <c r="J62" s="46"/>
      <c r="K62" s="47"/>
      <c r="M62" s="3">
        <f t="shared" si="13"/>
        <v>0</v>
      </c>
    </row>
    <row r="63" spans="2:13" ht="24.75" hidden="1" customHeight="1" x14ac:dyDescent="0.25">
      <c r="B63" s="48"/>
      <c r="C63" s="49"/>
      <c r="D63" s="49"/>
      <c r="E63" s="49"/>
      <c r="F63" s="50"/>
      <c r="G63" s="31"/>
      <c r="H63" s="45"/>
      <c r="I63" s="46"/>
      <c r="J63" s="46"/>
      <c r="K63" s="47"/>
      <c r="M63" s="3">
        <f t="shared" si="13"/>
        <v>0</v>
      </c>
    </row>
    <row r="64" spans="2:13" ht="15.95" hidden="1" customHeight="1" x14ac:dyDescent="0.25">
      <c r="B64" s="52"/>
      <c r="C64" s="53"/>
      <c r="D64" s="53"/>
      <c r="E64" s="53"/>
      <c r="F64" s="54"/>
      <c r="G64" s="31"/>
      <c r="H64" s="45"/>
      <c r="I64" s="46"/>
      <c r="J64" s="46"/>
      <c r="K64" s="47"/>
      <c r="M64" s="3">
        <f t="shared" si="13"/>
        <v>0</v>
      </c>
    </row>
    <row r="65" spans="2:13" ht="16.5" hidden="1" customHeight="1" x14ac:dyDescent="0.25">
      <c r="B65" s="52"/>
      <c r="C65" s="53"/>
      <c r="D65" s="53"/>
      <c r="E65" s="53"/>
      <c r="F65" s="54"/>
      <c r="G65" s="31"/>
      <c r="H65" s="45"/>
      <c r="I65" s="46"/>
      <c r="J65" s="46"/>
      <c r="K65" s="47"/>
      <c r="L65" s="2" t="str">
        <f>IF(G65&gt;="SIM","100%","0%")</f>
        <v>0%</v>
      </c>
      <c r="M65" s="3">
        <f t="shared" ref="M65" si="14">AVERAGE(IF(G65&gt;="SIM","100%","0%"))</f>
        <v>0</v>
      </c>
    </row>
    <row r="66" spans="2:13" ht="15.75" customHeight="1" x14ac:dyDescent="0.25">
      <c r="B66" s="59" t="s">
        <v>6</v>
      </c>
      <c r="C66" s="60"/>
      <c r="D66" s="60"/>
      <c r="E66" s="61"/>
      <c r="F66" s="62" t="s">
        <v>29</v>
      </c>
      <c r="G66" s="63"/>
      <c r="H66" s="42"/>
      <c r="I66" s="43"/>
      <c r="J66" s="43"/>
      <c r="K66" s="44"/>
      <c r="M66" s="3">
        <f>AVERAGE(IF(F66&gt;="NÃO CONFORME","0%","100%"))</f>
        <v>1</v>
      </c>
    </row>
    <row r="67" spans="2:13" ht="40.5" customHeight="1" x14ac:dyDescent="0.25">
      <c r="B67" s="51" t="s">
        <v>4</v>
      </c>
      <c r="C67" s="103"/>
      <c r="D67" s="103"/>
      <c r="E67" s="103"/>
      <c r="F67" s="103"/>
      <c r="G67" s="103"/>
      <c r="H67" s="103"/>
      <c r="I67" s="103"/>
      <c r="J67" s="103"/>
      <c r="K67" s="103"/>
    </row>
    <row r="68" spans="2:13" ht="14.1" customHeight="1" x14ac:dyDescent="0.25">
      <c r="B68" s="103" t="s">
        <v>12</v>
      </c>
      <c r="C68" s="103"/>
      <c r="D68" s="103"/>
      <c r="E68" s="103"/>
      <c r="F68" s="103"/>
      <c r="G68" s="103"/>
      <c r="H68" s="103"/>
      <c r="I68" s="103"/>
      <c r="J68" s="103"/>
      <c r="K68" s="103"/>
    </row>
    <row r="69" spans="2:13" ht="14.1" customHeight="1" x14ac:dyDescent="0.25">
      <c r="B69" s="103" t="s">
        <v>71</v>
      </c>
      <c r="C69" s="103"/>
      <c r="D69" s="103"/>
      <c r="E69" s="103"/>
      <c r="F69" s="103"/>
      <c r="G69" s="103"/>
      <c r="H69" s="103"/>
      <c r="I69" s="103"/>
      <c r="J69" s="103"/>
      <c r="K69" s="103"/>
    </row>
    <row r="70" spans="2:13" ht="14.1" customHeight="1" thickBot="1" x14ac:dyDescent="0.3">
      <c r="B70" s="104" t="s">
        <v>3</v>
      </c>
      <c r="C70" s="104"/>
      <c r="D70" s="104"/>
      <c r="E70" s="104"/>
      <c r="F70" s="104"/>
      <c r="G70" s="104"/>
      <c r="H70" s="104"/>
      <c r="I70" s="104"/>
      <c r="J70" s="104"/>
      <c r="K70" s="104"/>
    </row>
    <row r="71" spans="2:13" ht="15.75" customHeight="1" thickBot="1" x14ac:dyDescent="0.3">
      <c r="B71" s="38" t="s">
        <v>26</v>
      </c>
      <c r="C71" s="38"/>
      <c r="D71" s="38"/>
      <c r="E71" s="38"/>
      <c r="F71" s="39" t="s">
        <v>27</v>
      </c>
      <c r="G71" s="40"/>
      <c r="H71" s="41"/>
      <c r="I71" s="39" t="s">
        <v>28</v>
      </c>
      <c r="J71" s="40"/>
      <c r="K71" s="41"/>
    </row>
    <row r="72" spans="2:13" ht="15.75" customHeight="1" thickBot="1" x14ac:dyDescent="0.3">
      <c r="B72" s="64" t="s">
        <v>70</v>
      </c>
      <c r="C72" s="64"/>
      <c r="D72" s="64"/>
      <c r="E72" s="64"/>
      <c r="F72" s="65" t="s">
        <v>73</v>
      </c>
      <c r="G72" s="66"/>
      <c r="H72" s="67"/>
      <c r="I72" s="65" t="s">
        <v>72</v>
      </c>
      <c r="J72" s="66"/>
      <c r="K72" s="67"/>
    </row>
    <row r="75" spans="2:13" s="2" customFormat="1" ht="12.7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M75" s="3"/>
    </row>
    <row r="76" spans="2:13" s="2" customFormat="1" ht="12.75" customHeight="1" x14ac:dyDescent="0.25">
      <c r="B76" s="94" t="s">
        <v>5</v>
      </c>
      <c r="C76" s="94"/>
      <c r="D76" s="94"/>
      <c r="E76" s="94"/>
      <c r="F76" s="94"/>
      <c r="G76" s="94"/>
      <c r="H76" s="94"/>
      <c r="I76" s="94"/>
      <c r="J76" s="94"/>
      <c r="K76" s="94"/>
      <c r="M76" s="3"/>
    </row>
    <row r="77" spans="2:13" s="2" customFormat="1" x14ac:dyDescent="0.25">
      <c r="B77" s="94"/>
      <c r="C77" s="94"/>
      <c r="D77" s="94"/>
      <c r="E77" s="94"/>
      <c r="F77" s="94"/>
      <c r="G77" s="94"/>
      <c r="H77" s="94"/>
      <c r="I77" s="94"/>
      <c r="J77" s="94"/>
      <c r="K77" s="94"/>
      <c r="M77" s="3"/>
    </row>
    <row r="78" spans="2:13" s="2" customFormat="1" x14ac:dyDescent="0.25">
      <c r="B78" s="94"/>
      <c r="C78" s="94"/>
      <c r="D78" s="94"/>
      <c r="E78" s="94"/>
      <c r="F78" s="94"/>
      <c r="G78" s="94"/>
      <c r="H78" s="94"/>
      <c r="I78" s="94"/>
      <c r="J78" s="94"/>
      <c r="K78" s="94"/>
      <c r="M78" s="3"/>
    </row>
    <row r="79" spans="2:13" s="2" customFormat="1" x14ac:dyDescent="0.25">
      <c r="B79" s="94"/>
      <c r="C79" s="94"/>
      <c r="D79" s="94"/>
      <c r="E79" s="94"/>
      <c r="F79" s="94"/>
      <c r="G79" s="94"/>
      <c r="H79" s="94"/>
      <c r="I79" s="94"/>
      <c r="J79" s="94"/>
      <c r="K79" s="94"/>
      <c r="M79" s="3"/>
    </row>
    <row r="80" spans="2:13" s="2" customFormat="1" x14ac:dyDescent="0.25">
      <c r="B80" s="94"/>
      <c r="C80" s="94"/>
      <c r="D80" s="94"/>
      <c r="E80" s="94"/>
      <c r="F80" s="94"/>
      <c r="G80" s="94"/>
      <c r="H80" s="94"/>
      <c r="I80" s="94"/>
      <c r="J80" s="94"/>
      <c r="K80" s="94"/>
      <c r="M80" s="3"/>
    </row>
    <row r="81" spans="2:13" s="2" customFormat="1" x14ac:dyDescent="0.25">
      <c r="B81" s="94"/>
      <c r="C81" s="94"/>
      <c r="D81" s="94"/>
      <c r="E81" s="94"/>
      <c r="F81" s="94"/>
      <c r="G81" s="94"/>
      <c r="H81" s="94"/>
      <c r="I81" s="94"/>
      <c r="J81" s="94"/>
      <c r="K81" s="94"/>
      <c r="M81" s="3"/>
    </row>
    <row r="82" spans="2:13" s="2" customFormat="1" x14ac:dyDescent="0.25">
      <c r="B82" s="94"/>
      <c r="C82" s="94"/>
      <c r="D82" s="94"/>
      <c r="E82" s="94"/>
      <c r="F82" s="94"/>
      <c r="G82" s="94"/>
      <c r="H82" s="94"/>
      <c r="I82" s="94"/>
      <c r="J82" s="94"/>
      <c r="K82" s="94"/>
      <c r="M82" s="3"/>
    </row>
    <row r="83" spans="2:13" s="2" customFormat="1" x14ac:dyDescent="0.25">
      <c r="B83" s="94"/>
      <c r="C83" s="94"/>
      <c r="D83" s="94"/>
      <c r="E83" s="94"/>
      <c r="F83" s="94"/>
      <c r="G83" s="94"/>
      <c r="H83" s="94"/>
      <c r="I83" s="94"/>
      <c r="J83" s="94"/>
      <c r="K83" s="94"/>
      <c r="M83" s="3"/>
    </row>
    <row r="84" spans="2:13" s="2" customFormat="1" x14ac:dyDescent="0.25">
      <c r="B84" s="94"/>
      <c r="C84" s="94"/>
      <c r="D84" s="94"/>
      <c r="E84" s="94"/>
      <c r="F84" s="94"/>
      <c r="G84" s="94"/>
      <c r="H84" s="94"/>
      <c r="I84" s="94"/>
      <c r="J84" s="94"/>
      <c r="K84" s="94"/>
      <c r="M84" s="3"/>
    </row>
    <row r="85" spans="2:13" s="2" customFormat="1" x14ac:dyDescent="0.25">
      <c r="B85" s="94"/>
      <c r="C85" s="94"/>
      <c r="D85" s="94"/>
      <c r="E85" s="94"/>
      <c r="F85" s="94"/>
      <c r="G85" s="94"/>
      <c r="H85" s="94"/>
      <c r="I85" s="94"/>
      <c r="J85" s="94"/>
      <c r="K85" s="94"/>
      <c r="M85" s="3"/>
    </row>
    <row r="86" spans="2:13" s="2" customFormat="1" x14ac:dyDescent="0.25">
      <c r="B86" s="94"/>
      <c r="C86" s="94"/>
      <c r="D86" s="94"/>
      <c r="E86" s="94"/>
      <c r="F86" s="94"/>
      <c r="G86" s="94"/>
      <c r="H86" s="94"/>
      <c r="I86" s="94"/>
      <c r="J86" s="94"/>
      <c r="K86" s="94"/>
      <c r="M86" s="3"/>
    </row>
    <row r="87" spans="2:13" s="2" customFormat="1" x14ac:dyDescent="0.25">
      <c r="B87" s="94"/>
      <c r="C87" s="94"/>
      <c r="D87" s="94"/>
      <c r="E87" s="94"/>
      <c r="F87" s="94"/>
      <c r="G87" s="94"/>
      <c r="H87" s="94"/>
      <c r="I87" s="94"/>
      <c r="J87" s="94"/>
      <c r="K87" s="94"/>
      <c r="M87" s="3"/>
    </row>
    <row r="88" spans="2:13" s="2" customFormat="1" x14ac:dyDescent="0.25">
      <c r="B88" s="94"/>
      <c r="C88" s="94"/>
      <c r="D88" s="94"/>
      <c r="E88" s="94"/>
      <c r="F88" s="94"/>
      <c r="G88" s="94"/>
      <c r="H88" s="94"/>
      <c r="I88" s="94"/>
      <c r="J88" s="94"/>
      <c r="K88" s="94"/>
      <c r="M88" s="3"/>
    </row>
    <row r="89" spans="2:13" s="2" customFormat="1" x14ac:dyDescent="0.25">
      <c r="B89" s="94"/>
      <c r="C89" s="94"/>
      <c r="D89" s="94"/>
      <c r="E89" s="94"/>
      <c r="F89" s="94"/>
      <c r="G89" s="94"/>
      <c r="H89" s="94"/>
      <c r="I89" s="94"/>
      <c r="J89" s="94"/>
      <c r="K89" s="94"/>
      <c r="M89" s="3"/>
    </row>
    <row r="90" spans="2:13" s="2" customFormat="1" x14ac:dyDescent="0.25">
      <c r="B90" s="94"/>
      <c r="C90" s="94"/>
      <c r="D90" s="94"/>
      <c r="E90" s="94"/>
      <c r="F90" s="94"/>
      <c r="G90" s="94"/>
      <c r="H90" s="94"/>
      <c r="I90" s="94"/>
      <c r="J90" s="94"/>
      <c r="K90" s="94"/>
      <c r="M90" s="3"/>
    </row>
    <row r="91" spans="2:13" s="2" customFormat="1" x14ac:dyDescent="0.25">
      <c r="B91" s="94"/>
      <c r="C91" s="94"/>
      <c r="D91" s="94"/>
      <c r="E91" s="94"/>
      <c r="F91" s="94"/>
      <c r="G91" s="94"/>
      <c r="H91" s="94"/>
      <c r="I91" s="94"/>
      <c r="J91" s="94"/>
      <c r="K91" s="94"/>
      <c r="M91" s="3"/>
    </row>
    <row r="92" spans="2:13" s="2" customFormat="1" x14ac:dyDescent="0.25">
      <c r="B92" s="94"/>
      <c r="C92" s="94"/>
      <c r="D92" s="94"/>
      <c r="E92" s="94"/>
      <c r="F92" s="94"/>
      <c r="G92" s="94"/>
      <c r="H92" s="94"/>
      <c r="I92" s="94"/>
      <c r="J92" s="94"/>
      <c r="K92" s="94"/>
      <c r="M92" s="3"/>
    </row>
    <row r="93" spans="2:13" s="2" customFormat="1" x14ac:dyDescent="0.25">
      <c r="B93" s="94"/>
      <c r="C93" s="94"/>
      <c r="D93" s="94"/>
      <c r="E93" s="94"/>
      <c r="F93" s="94"/>
      <c r="G93" s="94"/>
      <c r="H93" s="94"/>
      <c r="I93" s="94"/>
      <c r="J93" s="94"/>
      <c r="K93" s="94"/>
      <c r="M93" s="3"/>
    </row>
    <row r="94" spans="2:13" s="2" customFormat="1" x14ac:dyDescent="0.25">
      <c r="B94" s="94"/>
      <c r="C94" s="94"/>
      <c r="D94" s="94"/>
      <c r="E94" s="94"/>
      <c r="F94" s="94"/>
      <c r="G94" s="94"/>
      <c r="H94" s="94"/>
      <c r="I94" s="94"/>
      <c r="J94" s="94"/>
      <c r="K94" s="94"/>
      <c r="M94" s="3"/>
    </row>
    <row r="95" spans="2:13" s="2" customFormat="1" x14ac:dyDescent="0.25">
      <c r="B95" s="94"/>
      <c r="C95" s="94"/>
      <c r="D95" s="94"/>
      <c r="E95" s="94"/>
      <c r="F95" s="94"/>
      <c r="G95" s="94"/>
      <c r="H95" s="94"/>
      <c r="I95" s="94"/>
      <c r="J95" s="94"/>
      <c r="K95" s="94"/>
      <c r="M95" s="3"/>
    </row>
    <row r="96" spans="2:13" s="2" customFormat="1" x14ac:dyDescent="0.25">
      <c r="B96" s="94"/>
      <c r="C96" s="94"/>
      <c r="D96" s="94"/>
      <c r="E96" s="94"/>
      <c r="F96" s="94"/>
      <c r="G96" s="94"/>
      <c r="H96" s="94"/>
      <c r="I96" s="94"/>
      <c r="J96" s="94"/>
      <c r="K96" s="94"/>
      <c r="M96" s="3"/>
    </row>
    <row r="97" spans="2:13" s="2" customFormat="1" x14ac:dyDescent="0.25">
      <c r="B97" s="94"/>
      <c r="C97" s="94"/>
      <c r="D97" s="94"/>
      <c r="E97" s="94"/>
      <c r="F97" s="94"/>
      <c r="G97" s="94"/>
      <c r="H97" s="94"/>
      <c r="I97" s="94"/>
      <c r="J97" s="94"/>
      <c r="K97" s="94"/>
      <c r="M97" s="3"/>
    </row>
    <row r="98" spans="2:13" s="2" customFormat="1" x14ac:dyDescent="0.25">
      <c r="B98" s="94"/>
      <c r="C98" s="94"/>
      <c r="D98" s="94"/>
      <c r="E98" s="94"/>
      <c r="F98" s="94"/>
      <c r="G98" s="94"/>
      <c r="H98" s="94"/>
      <c r="I98" s="94"/>
      <c r="J98" s="94"/>
      <c r="K98" s="94"/>
      <c r="M98" s="3"/>
    </row>
    <row r="99" spans="2:13" s="2" customFormat="1" x14ac:dyDescent="0.25">
      <c r="B99" s="94"/>
      <c r="C99" s="94"/>
      <c r="D99" s="94"/>
      <c r="E99" s="94"/>
      <c r="F99" s="94"/>
      <c r="G99" s="94"/>
      <c r="H99" s="94"/>
      <c r="I99" s="94"/>
      <c r="J99" s="94"/>
      <c r="K99" s="94"/>
      <c r="M99" s="3"/>
    </row>
    <row r="100" spans="2:13" s="2" customFormat="1" x14ac:dyDescent="0.25"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M100" s="3"/>
    </row>
    <row r="101" spans="2:13" s="2" customFormat="1" x14ac:dyDescent="0.25"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M101" s="3"/>
    </row>
    <row r="102" spans="2:13" s="2" customFormat="1" x14ac:dyDescent="0.25"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M102" s="3"/>
    </row>
    <row r="103" spans="2:13" s="2" customFormat="1" x14ac:dyDescent="0.25"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M103" s="3"/>
    </row>
    <row r="104" spans="2:13" s="2" customFormat="1" x14ac:dyDescent="0.25"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M104" s="3"/>
    </row>
    <row r="105" spans="2:13" s="2" customFormat="1" x14ac:dyDescent="0.25"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M105" s="3"/>
    </row>
    <row r="106" spans="2:13" s="2" customFormat="1" x14ac:dyDescent="0.25"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M106" s="3"/>
    </row>
    <row r="107" spans="2:13" s="2" customFormat="1" x14ac:dyDescent="0.25"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M107" s="3"/>
    </row>
    <row r="108" spans="2:13" s="2" customFormat="1" x14ac:dyDescent="0.25"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M108" s="3"/>
    </row>
    <row r="109" spans="2:13" s="2" customFormat="1" x14ac:dyDescent="0.25"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M109" s="3"/>
    </row>
    <row r="110" spans="2:13" s="2" customFormat="1" x14ac:dyDescent="0.25"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M110" s="3"/>
    </row>
    <row r="111" spans="2:13" s="2" customFormat="1" x14ac:dyDescent="0.25"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M111" s="3"/>
    </row>
    <row r="112" spans="2:13" s="2" customFormat="1" x14ac:dyDescent="0.25"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M112" s="3"/>
    </row>
    <row r="113" spans="2:13" s="2" customFormat="1" x14ac:dyDescent="0.25"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M113" s="3"/>
    </row>
    <row r="114" spans="2:13" s="2" customFormat="1" x14ac:dyDescent="0.2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M114" s="3"/>
    </row>
    <row r="115" spans="2:13" s="2" customFormat="1" x14ac:dyDescent="0.25"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M115" s="3"/>
    </row>
    <row r="116" spans="2:13" s="2" customFormat="1" x14ac:dyDescent="0.2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M116" s="3"/>
    </row>
    <row r="117" spans="2:13" s="2" customFormat="1" x14ac:dyDescent="0.25"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M117" s="3"/>
    </row>
    <row r="118" spans="2:13" s="2" customFormat="1" x14ac:dyDescent="0.25"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M118" s="3"/>
    </row>
    <row r="119" spans="2:13" s="2" customFormat="1" x14ac:dyDescent="0.25"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M119" s="3"/>
    </row>
    <row r="120" spans="2:13" s="2" customFormat="1" x14ac:dyDescent="0.25"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M120" s="3"/>
    </row>
    <row r="121" spans="2:13" s="2" customFormat="1" x14ac:dyDescent="0.25"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M121" s="3"/>
    </row>
    <row r="122" spans="2:13" s="2" customFormat="1" x14ac:dyDescent="0.25"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M122" s="3"/>
    </row>
    <row r="123" spans="2:13" s="2" customFormat="1" x14ac:dyDescent="0.25"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M123" s="3"/>
    </row>
    <row r="124" spans="2:13" s="2" customFormat="1" x14ac:dyDescent="0.25"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M124" s="3"/>
    </row>
    <row r="125" spans="2:13" s="2" customFormat="1" x14ac:dyDescent="0.25"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M125" s="3"/>
    </row>
    <row r="126" spans="2:13" s="2" customFormat="1" x14ac:dyDescent="0.25"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M126" s="3"/>
    </row>
    <row r="127" spans="2:13" s="2" customFormat="1" x14ac:dyDescent="0.25"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M127" s="3"/>
    </row>
    <row r="128" spans="2:13" s="2" customFormat="1" x14ac:dyDescent="0.25"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M128" s="3"/>
    </row>
    <row r="129" spans="2:13" s="2" customFormat="1" x14ac:dyDescent="0.25"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M129" s="3"/>
    </row>
    <row r="130" spans="2:13" s="2" customFormat="1" x14ac:dyDescent="0.25"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M130" s="3"/>
    </row>
    <row r="131" spans="2:13" s="2" customFormat="1" x14ac:dyDescent="0.25"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M131" s="3"/>
    </row>
    <row r="132" spans="2:13" s="2" customFormat="1" x14ac:dyDescent="0.25"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M132" s="3"/>
    </row>
    <row r="133" spans="2:13" s="2" customFormat="1" x14ac:dyDescent="0.25"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M133" s="3"/>
    </row>
  </sheetData>
  <mergeCells count="136">
    <mergeCell ref="B17:F17"/>
    <mergeCell ref="H17:K17"/>
    <mergeCell ref="B18:E18"/>
    <mergeCell ref="F18:G18"/>
    <mergeCell ref="H18:K18"/>
    <mergeCell ref="B19:F19"/>
    <mergeCell ref="H19:K19"/>
    <mergeCell ref="D2:E2"/>
    <mergeCell ref="F2:J3"/>
    <mergeCell ref="D3:E3"/>
    <mergeCell ref="E12:F12"/>
    <mergeCell ref="G12:H12"/>
    <mergeCell ref="B14:F14"/>
    <mergeCell ref="H14:K14"/>
    <mergeCell ref="H15:K15"/>
    <mergeCell ref="G10:H10"/>
    <mergeCell ref="G11:H11"/>
    <mergeCell ref="C10:E10"/>
    <mergeCell ref="C11:E11"/>
    <mergeCell ref="B2:B4"/>
    <mergeCell ref="C4:E4"/>
    <mergeCell ref="G4:H4"/>
    <mergeCell ref="K2:K4"/>
    <mergeCell ref="B42:F42"/>
    <mergeCell ref="B76:K133"/>
    <mergeCell ref="B7:E7"/>
    <mergeCell ref="C12:D12"/>
    <mergeCell ref="C9:E9"/>
    <mergeCell ref="B67:K67"/>
    <mergeCell ref="B68:K68"/>
    <mergeCell ref="B69:K69"/>
    <mergeCell ref="B70:K70"/>
    <mergeCell ref="B43:F43"/>
    <mergeCell ref="H43:K43"/>
    <mergeCell ref="B50:F50"/>
    <mergeCell ref="H50:K50"/>
    <mergeCell ref="B47:F47"/>
    <mergeCell ref="H38:K38"/>
    <mergeCell ref="B35:F35"/>
    <mergeCell ref="H35:K35"/>
    <mergeCell ref="B36:E36"/>
    <mergeCell ref="H36:K36"/>
    <mergeCell ref="H37:K37"/>
    <mergeCell ref="H41:K41"/>
    <mergeCell ref="H29:K29"/>
    <mergeCell ref="H33:K33"/>
    <mergeCell ref="B20:E20"/>
    <mergeCell ref="B26:E26"/>
    <mergeCell ref="F26:G26"/>
    <mergeCell ref="H26:K26"/>
    <mergeCell ref="B34:E34"/>
    <mergeCell ref="F34:G34"/>
    <mergeCell ref="H34:K34"/>
    <mergeCell ref="B6:K6"/>
    <mergeCell ref="G7:K7"/>
    <mergeCell ref="G9:H9"/>
    <mergeCell ref="B21:F21"/>
    <mergeCell ref="B25:F25"/>
    <mergeCell ref="B27:F27"/>
    <mergeCell ref="H27:K27"/>
    <mergeCell ref="B28:E28"/>
    <mergeCell ref="H28:K28"/>
    <mergeCell ref="H21:K21"/>
    <mergeCell ref="H25:K25"/>
    <mergeCell ref="B22:F22"/>
    <mergeCell ref="B23:F23"/>
    <mergeCell ref="B24:F24"/>
    <mergeCell ref="H20:K20"/>
    <mergeCell ref="C8:D8"/>
    <mergeCell ref="B16:F16"/>
    <mergeCell ref="H16:K16"/>
    <mergeCell ref="B37:F37"/>
    <mergeCell ref="B38:F38"/>
    <mergeCell ref="B29:F29"/>
    <mergeCell ref="B33:F33"/>
    <mergeCell ref="H47:K47"/>
    <mergeCell ref="B48:E48"/>
    <mergeCell ref="H48:K48"/>
    <mergeCell ref="H49:K49"/>
    <mergeCell ref="B49:F49"/>
    <mergeCell ref="B46:E46"/>
    <mergeCell ref="F46:G46"/>
    <mergeCell ref="B30:F30"/>
    <mergeCell ref="B31:F31"/>
    <mergeCell ref="B32:F32"/>
    <mergeCell ref="B44:F44"/>
    <mergeCell ref="H44:K44"/>
    <mergeCell ref="B41:E41"/>
    <mergeCell ref="B45:F45"/>
    <mergeCell ref="B40:F40"/>
    <mergeCell ref="H40:K40"/>
    <mergeCell ref="B39:E39"/>
    <mergeCell ref="F39:G39"/>
    <mergeCell ref="H39:K39"/>
    <mergeCell ref="H42:K42"/>
    <mergeCell ref="B72:E72"/>
    <mergeCell ref="F72:H72"/>
    <mergeCell ref="I72:K72"/>
    <mergeCell ref="B65:F65"/>
    <mergeCell ref="H65:K65"/>
    <mergeCell ref="B66:E66"/>
    <mergeCell ref="F66:G66"/>
    <mergeCell ref="H66:K66"/>
    <mergeCell ref="B53:E53"/>
    <mergeCell ref="H53:K53"/>
    <mergeCell ref="H54:K54"/>
    <mergeCell ref="B54:F54"/>
    <mergeCell ref="B57:F57"/>
    <mergeCell ref="B58:F58"/>
    <mergeCell ref="B59:F59"/>
    <mergeCell ref="B60:F60"/>
    <mergeCell ref="B61:F61"/>
    <mergeCell ref="B62:F62"/>
    <mergeCell ref="B64:F64"/>
    <mergeCell ref="H58:K58"/>
    <mergeCell ref="H59:K59"/>
    <mergeCell ref="H60:K60"/>
    <mergeCell ref="H61:K61"/>
    <mergeCell ref="H62:K62"/>
    <mergeCell ref="B71:E71"/>
    <mergeCell ref="I71:K71"/>
    <mergeCell ref="F71:H71"/>
    <mergeCell ref="H46:K46"/>
    <mergeCell ref="H64:K64"/>
    <mergeCell ref="B63:F63"/>
    <mergeCell ref="H63:K63"/>
    <mergeCell ref="H57:K57"/>
    <mergeCell ref="B55:F55"/>
    <mergeCell ref="H55:K55"/>
    <mergeCell ref="B56:F56"/>
    <mergeCell ref="H56:K56"/>
    <mergeCell ref="H51:K51"/>
    <mergeCell ref="B52:F52"/>
    <mergeCell ref="H52:K52"/>
    <mergeCell ref="B51:E51"/>
    <mergeCell ref="F51:G51"/>
  </mergeCells>
  <conditionalFormatting sqref="E8">
    <cfRule type="containsText" dxfId="36" priority="60" operator="containsText" text="EM ATRASO">
      <formula>NOT(ISERROR(SEARCH("EM ATRASO",E8)))</formula>
    </cfRule>
    <cfRule type="containsText" dxfId="35" priority="61" operator="containsText" text="URGENTE">
      <formula>NOT(ISERROR(SEARCH("URGENTE",E8)))</formula>
    </cfRule>
    <cfRule type="containsText" dxfId="34" priority="62" operator="containsText" text="PRIORIDADE">
      <formula>NOT(ISERROR(SEARCH("PRIORIDADE",E8)))</formula>
    </cfRule>
    <cfRule type="containsText" dxfId="33" priority="63" operator="containsText" text="IMPORTANTE">
      <formula>NOT(ISERROR(SEARCH("IMPORTANTE",E8)))</formula>
    </cfRule>
    <cfRule type="containsText" dxfId="32" priority="64" operator="containsText" text="EM DIA">
      <formula>NOT(ISERROR(SEARCH("EM DIA",E8)))</formula>
    </cfRule>
  </conditionalFormatting>
  <conditionalFormatting sqref="F7">
    <cfRule type="cellIs" dxfId="31" priority="157" stopIfTrue="1" operator="between">
      <formula>0%</formula>
      <formula>39.99%</formula>
    </cfRule>
    <cfRule type="cellIs" dxfId="30" priority="156" stopIfTrue="1" operator="between">
      <formula>33.3%</formula>
      <formula>95%</formula>
    </cfRule>
    <cfRule type="cellIs" dxfId="29" priority="155" stopIfTrue="1" operator="between">
      <formula>95.1%</formula>
      <formula>100%</formula>
    </cfRule>
  </conditionalFormatting>
  <conditionalFormatting sqref="F8:F11">
    <cfRule type="iconSet" priority="5">
      <iconSet iconSet="3Symbols">
        <cfvo type="percent" val="0"/>
        <cfvo type="num" val="7"/>
        <cfvo type="num" val="30" gte="0"/>
      </iconSet>
    </cfRule>
  </conditionalFormatting>
  <conditionalFormatting sqref="F18:G18">
    <cfRule type="containsText" dxfId="28" priority="77" stopIfTrue="1" operator="containsText" text="CONFORME">
      <formula>NOT(ISERROR(SEARCH("CONFORME",F18)))</formula>
    </cfRule>
    <cfRule type="containsText" dxfId="27" priority="76" stopIfTrue="1" operator="containsText" text="NÃO CONFORME">
      <formula>NOT(ISERROR(SEARCH("NÃO CONFORME",F18)))</formula>
    </cfRule>
  </conditionalFormatting>
  <conditionalFormatting sqref="F26:G26">
    <cfRule type="containsText" dxfId="26" priority="119" stopIfTrue="1" operator="containsText" text="NÃO CONFORME">
      <formula>NOT(ISERROR(SEARCH("NÃO CONFORME",F26)))</formula>
    </cfRule>
    <cfRule type="containsText" dxfId="25" priority="120" stopIfTrue="1" operator="containsText" text="CONFORME">
      <formula>NOT(ISERROR(SEARCH("CONFORME",F26)))</formula>
    </cfRule>
  </conditionalFormatting>
  <conditionalFormatting sqref="F34:G34">
    <cfRule type="containsText" dxfId="24" priority="107" stopIfTrue="1" operator="containsText" text="NÃO CONFORME">
      <formula>NOT(ISERROR(SEARCH("NÃO CONFORME",F34)))</formula>
    </cfRule>
    <cfRule type="containsText" dxfId="23" priority="108" stopIfTrue="1" operator="containsText" text="CONFORME">
      <formula>NOT(ISERROR(SEARCH("CONFORME",F34)))</formula>
    </cfRule>
  </conditionalFormatting>
  <conditionalFormatting sqref="F39:G39 F51:G51 F66:G66">
    <cfRule type="containsText" dxfId="22" priority="97" stopIfTrue="1" operator="containsText" text="NÃO CONFORME">
      <formula>NOT(ISERROR(SEARCH("NÃO CONFORME",F39)))</formula>
    </cfRule>
    <cfRule type="containsText" dxfId="21" priority="98" stopIfTrue="1" operator="containsText" text="CONFORME">
      <formula>NOT(ISERROR(SEARCH("CONFORME",F39)))</formula>
    </cfRule>
  </conditionalFormatting>
  <conditionalFormatting sqref="F46:G46">
    <cfRule type="containsText" dxfId="20" priority="3" stopIfTrue="1" operator="containsText" text="NÃO CONFORME">
      <formula>NOT(ISERROR(SEARCH("NÃO CONFORME",F46)))</formula>
    </cfRule>
    <cfRule type="containsText" dxfId="19" priority="4" stopIfTrue="1" operator="containsText" text="CONFORME">
      <formula>NOT(ISERROR(SEARCH("CONFORME",F46)))</formula>
    </cfRule>
  </conditionalFormatting>
  <conditionalFormatting sqref="G21:G25">
    <cfRule type="beginsWith" dxfId="18" priority="133" stopIfTrue="1" operator="beginsWith" text="NÃO">
      <formula>LEFT(G21,LEN("NÃO"))="NÃO"</formula>
    </cfRule>
    <cfRule type="beginsWith" dxfId="17" priority="134" stopIfTrue="1" operator="beginsWith" text="SIM">
      <formula>LEFT(G21,LEN("SIM"))="SIM"</formula>
    </cfRule>
  </conditionalFormatting>
  <conditionalFormatting sqref="G29:G33">
    <cfRule type="beginsWith" dxfId="16" priority="141" stopIfTrue="1" operator="beginsWith" text="NÃO">
      <formula>LEFT(G29,LEN("NÃO"))="NÃO"</formula>
    </cfRule>
    <cfRule type="beginsWith" dxfId="15" priority="142" stopIfTrue="1" operator="beginsWith" text="SIM">
      <formula>LEFT(G29,LEN("SIM"))="SIM"</formula>
    </cfRule>
  </conditionalFormatting>
  <conditionalFormatting sqref="G37:G38">
    <cfRule type="beginsWith" dxfId="14" priority="145" stopIfTrue="1" operator="beginsWith" text="NÃO">
      <formula>LEFT(G37,LEN("NÃO"))="NÃO"</formula>
    </cfRule>
    <cfRule type="beginsWith" dxfId="13" priority="146" stopIfTrue="1" operator="beginsWith" text="SIM">
      <formula>LEFT(G37,LEN("SIM"))="SIM"</formula>
    </cfRule>
  </conditionalFormatting>
  <conditionalFormatting sqref="G42:G45">
    <cfRule type="beginsWith" dxfId="12" priority="50" stopIfTrue="1" operator="beginsWith" text="NÃO">
      <formula>LEFT(G42,LEN("NÃO"))="NÃO"</formula>
    </cfRule>
    <cfRule type="beginsWith" dxfId="11" priority="51" stopIfTrue="1" operator="beginsWith" text="SIM">
      <formula>LEFT(G42,LEN("SIM"))="SIM"</formula>
    </cfRule>
  </conditionalFormatting>
  <conditionalFormatting sqref="G49:G50">
    <cfRule type="beginsWith" dxfId="10" priority="34" stopIfTrue="1" operator="beginsWith" text="NÃO">
      <formula>LEFT(G49,LEN("NÃO"))="NÃO"</formula>
    </cfRule>
    <cfRule type="beginsWith" dxfId="9" priority="35" stopIfTrue="1" operator="beginsWith" text="SIM">
      <formula>LEFT(G49,LEN("SIM"))="SIM"</formula>
    </cfRule>
  </conditionalFormatting>
  <conditionalFormatting sqref="G54:G65">
    <cfRule type="beginsWith" dxfId="8" priority="14" stopIfTrue="1" operator="beginsWith" text="NÃO">
      <formula>LEFT(G54,LEN("NÃO"))="NÃO"</formula>
    </cfRule>
    <cfRule type="beginsWith" dxfId="7" priority="15" stopIfTrue="1" operator="beginsWith" text="SIM">
      <formula>LEFT(G54,LEN("SIM"))="SIM"</formula>
    </cfRule>
  </conditionalFormatting>
  <conditionalFormatting sqref="G16:H17">
    <cfRule type="beginsWith" dxfId="6" priority="69" stopIfTrue="1" operator="beginsWith" text="SIM">
      <formula>LEFT(G16,LEN("SIM"))="SIM"</formula>
    </cfRule>
    <cfRule type="beginsWith" dxfId="5" priority="68" stopIfTrue="1" operator="beginsWith" text="NÃO">
      <formula>LEFT(G16,LEN("NÃO"))="NÃO"</formula>
    </cfRule>
  </conditionalFormatting>
  <conditionalFormatting sqref="J9:J11 I9:I12">
    <cfRule type="cellIs" dxfId="4" priority="2" operator="equal">
      <formula>1</formula>
    </cfRule>
    <cfRule type="cellIs" dxfId="3" priority="1" operator="equal">
      <formula>0</formula>
    </cfRule>
  </conditionalFormatting>
  <conditionalFormatting sqref="K12">
    <cfRule type="cellIs" dxfId="2" priority="88" operator="between">
      <formula>0.75</formula>
      <formula>1</formula>
    </cfRule>
    <cfRule type="cellIs" dxfId="1" priority="89" operator="between">
      <formula>0.51</formula>
      <formula>0.75</formula>
    </cfRule>
    <cfRule type="cellIs" dxfId="0" priority="90" operator="between">
      <formula>0</formula>
      <formula>0.5</formula>
    </cfRule>
  </conditionalFormatting>
  <dataValidations count="2">
    <dataValidation type="list" allowBlank="1" showInputMessage="1" showErrorMessage="1" sqref="F18:G18 F26:G26 F34:G34 F39:G39 F46:G46 F51:G51 F66:G66" xr:uid="{FB88BE03-B325-473F-9E77-BD84E39D29F1}">
      <formula1>$M$11:$M$12</formula1>
    </dataValidation>
    <dataValidation type="list" allowBlank="1" showInputMessage="1" showErrorMessage="1" sqref="G16:G17 G21:G25 G29:G33 G37:G38 G49:G50 G42:G45 G54:G65" xr:uid="{CEB0F41A-37CC-4DDF-B28B-F1BAE630586B}">
      <formula1>$M$9:$M$10</formula1>
    </dataValidation>
  </dataValidations>
  <hyperlinks>
    <hyperlink ref="F7" r:id="rId1" display="20160428_SEMED_Sub Adm Fin_ Contratos &amp; Licitações.xlsx" xr:uid="{34050ED5-E896-4CE4-955F-8AB4D8E4FE84}"/>
  </hyperlinks>
  <pageMargins left="0.511811024" right="0.511811024" top="0.78740157499999996" bottom="0.78740157499999996" header="0.31496062000000002" footer="0.31496062000000002"/>
  <pageSetup paperSize="9" scale="74" orientation="portrait" r:id="rId2"/>
  <ignoredErrors>
    <ignoredError sqref="M25" formula="1"/>
    <ignoredError sqref="F7" unlockedFormula="1"/>
  </ignoredError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Modelo_Análise Upsell</vt:lpstr>
      <vt:lpstr>'Modelo_Análise Upsell'!Area_de_impressao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 Nick</dc:creator>
  <cp:lastModifiedBy>Atos Nick Batista</cp:lastModifiedBy>
  <cp:lastPrinted>2025-03-21T22:55:07Z</cp:lastPrinted>
  <dcterms:created xsi:type="dcterms:W3CDTF">2012-06-29T14:44:54Z</dcterms:created>
  <dcterms:modified xsi:type="dcterms:W3CDTF">2026-06-29T13:19:31Z</dcterms:modified>
</cp:coreProperties>
</file>