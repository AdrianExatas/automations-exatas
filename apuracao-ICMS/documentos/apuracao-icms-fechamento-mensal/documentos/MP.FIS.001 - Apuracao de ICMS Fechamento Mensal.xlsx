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6315" windowHeight="4800"/>
  </bookViews>
  <sheets>
    <sheet name="MP" sheetId="1" r:id="rId1"/>
  </sheets>
  <definedNames>
    <definedName name="_xlnm.Print_Area" localSheetId="0">MP!$A$1:$K$71</definedName>
    <definedName name="MP_GRAVIDADE">MP!$G$49:$G$55</definedName>
    <definedName name="MP_PROBABILIDADE">MP!$F$49:$F$55</definedName>
    <definedName name="MP_SCORE">MP!$H$49:$H$55</definedName>
  </definedNames>
  <calcPr calcId="162913" forceFullCalc="1"/>
</workbook>
</file>

<file path=xl/calcChain.xml><?xml version="1.0" encoding="utf-8"?>
<calcChain xmlns="http://schemas.openxmlformats.org/spreadsheetml/2006/main">
  <c r="H55" i="1" l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</calcChain>
</file>

<file path=xl/sharedStrings.xml><?xml version="1.0" encoding="utf-8"?>
<sst xmlns="http://schemas.openxmlformats.org/spreadsheetml/2006/main" count="172" uniqueCount="129">
  <si>
    <t>MAPEAMENTO DE PROCESSO</t>
  </si>
  <si>
    <t>CÓDIGO</t>
  </si>
  <si>
    <t>VERSÃO</t>
  </si>
  <si>
    <t>00</t>
  </si>
  <si>
    <t>CADEIA CLIENTE-FORNECEDOR (SIPOC)</t>
  </si>
  <si>
    <t>FORNECEDORES</t>
  </si>
  <si>
    <t>ENTRADAS</t>
  </si>
  <si>
    <t>CLIENTES</t>
  </si>
  <si>
    <t>SAÍDAS</t>
  </si>
  <si>
    <t>FLUXO DAS MACROETAPAS</t>
  </si>
  <si>
    <t>MAPA DE PROCESSO E MATRIZ DE RISCOS</t>
  </si>
  <si>
    <t>ETAPA</t>
  </si>
  <si>
    <t>QUEM FAZ</t>
  </si>
  <si>
    <t>COMO FAZ</t>
  </si>
  <si>
    <t>RISCO</t>
  </si>
  <si>
    <t>BARREIRA</t>
  </si>
  <si>
    <t>P</t>
  </si>
  <si>
    <t>G</t>
  </si>
  <si>
    <t>P × G</t>
  </si>
  <si>
    <t>CLASSIFICAÇÃO</t>
  </si>
  <si>
    <t>MITIGAÇÃO</t>
  </si>
  <si>
    <t>RESULTADO / INDICADOR</t>
  </si>
  <si>
    <t>MP.FIS.001</t>
  </si>
  <si>
    <t>SETOR</t>
  </si>
  <si>
    <t>Fiscal</t>
  </si>
  <si>
    <t>PROCESSO</t>
  </si>
  <si>
    <t>APURACAO DE ICMS - FECHAMENTO MENSAL</t>
  </si>
  <si>
    <t>EMISSÃO</t>
  </si>
  <si>
    <t>07/08/2026</t>
  </si>
  <si>
    <t>RESULTADO ESPERADO</t>
  </si>
  <si>
    <t>Competencia FECHADA com EFD transmitida, obrigacoes estaduais cumpridas, guias conferidas, pagamento acompanhado e dossie mensal arquivado sem pendencias bloqueantes.</t>
  </si>
  <si>
    <t>REVISÃO</t>
  </si>
  <si>
    <t>Cliente</t>
  </si>
  <si>
    <t>Documentos fiscais da competencia</t>
  </si>
  <si>
    <t>EFD ICMS/IPI transmitida</t>
  </si>
  <si>
    <t>SEFAZ / XML</t>
  </si>
  <si>
    <t>Parametros tributarios</t>
  </si>
  <si>
    <t>Financeiro</t>
  </si>
  <si>
    <t>Recibo de transmissao</t>
  </si>
  <si>
    <t>Sistema fiscal (ex.: Dominio)</t>
  </si>
  <si>
    <t>Saldo credor anterior</t>
  </si>
  <si>
    <t>Revisor/Coordenador fiscal</t>
  </si>
  <si>
    <t>Guias de recolhimento</t>
  </si>
  <si>
    <t>Matriz tributaria</t>
  </si>
  <si>
    <t>Legislacao da UF</t>
  </si>
  <si>
    <t>Auditoria interna</t>
  </si>
  <si>
    <t>Comprovantes de pagamento</t>
  </si>
  <si>
    <t>Analista fiscal</t>
  </si>
  <si>
    <t>Comprovantes de recolhimento anterior</t>
  </si>
  <si>
    <t>Fisco</t>
  </si>
  <si>
    <t>Dossie mensal arquivado</t>
  </si>
  <si>
    <t/>
  </si>
  <si>
    <t>Competencia FECHADA</t>
  </si>
  <si>
    <t>01  Validar parametrizacao tributaria</t>
  </si>
  <si>
    <t>↓</t>
  </si>
  <si>
    <t>02  Receber documentos da competencia</t>
  </si>
  <si>
    <t>03  Conferir integridade documental</t>
  </si>
  <si>
    <t>04  Classificar operacoes</t>
  </si>
  <si>
    <t>05  Escriturar documentos fiscais</t>
  </si>
  <si>
    <t>06  Conferir entradas e CIAP</t>
  </si>
  <si>
    <t>07  Conferir saidas</t>
  </si>
  <si>
    <t>08  Executar apuracoes especiais</t>
  </si>
  <si>
    <t>09  Apurar ICMS proprio e ajustes</t>
  </si>
  <si>
    <t>10  Conciliar a apuracao</t>
  </si>
  <si>
    <t>11  Revisar e aprovar apuracao</t>
  </si>
  <si>
    <t>12  Gerar e validar EFD</t>
  </si>
  <si>
    <t>13  Cumprir obrigacoes estaduais</t>
  </si>
  <si>
    <t>14  Gerar e aprovar guias</t>
  </si>
  <si>
    <t>15  Acompanhar pagamento</t>
  </si>
  <si>
    <t>16  Fechar competencia e arquivar dossie</t>
  </si>
  <si>
    <t>R01 | E03 - Conferir integridade documental | RISCO SUGERIDO — PENDENTE DE VALIDAÇÃO</t>
  </si>
  <si>
    <t>Cruza XML x sistema x documentos do cliente.</t>
  </si>
  <si>
    <t>Avancar com nota nao escriturada ou faltante.</t>
  </si>
  <si>
    <t>FORM.FIS.001 - Bloco B02 Gate 1.</t>
  </si>
  <si>
    <t>R02 | E04 - Classificar operacoes | RISCO SUGERIDO — PENDENTE DE VALIDAÇÃO</t>
  </si>
  <si>
    <t>Define natureza economica e credito/debito.</t>
  </si>
  <si>
    <t>Classificacao tributaria incorreta gerando credito indevido ou debito omitido.</t>
  </si>
  <si>
    <t>FORM.FIS.001 - Blocos B03/B04 e matriz tributaria.</t>
  </si>
  <si>
    <t>R03 | E06 - Conferir entradas e CIAP | RISCO SUGERIDO — PENDENTE DE VALIDAÇÃO</t>
  </si>
  <si>
    <t>Audita creditos e apropriacao de CIAP.</t>
  </si>
  <si>
    <t>Credito indevido de uso/consumo ou CIAP mal apropriado.</t>
  </si>
  <si>
    <t>FORM.FIS.001 - Bloco B03.</t>
  </si>
  <si>
    <t>R04 | E08 - Executar apuracoes especiais | RISCO SUGERIDO — PENDENTE DE VALIDAÇÃO</t>
  </si>
  <si>
    <t>Apura ST, DIFAL/FCP e especiais por UF.</t>
  </si>
  <si>
    <t>ST/DIFAL/FCP calculados ou alocados incorretamente por UF.</t>
  </si>
  <si>
    <t>FORM.FIS.001 - Bloco B05.</t>
  </si>
  <si>
    <t>R05 | E12 - Gerar e validar EFD | RISCO SUGERIDO — PENDENTE DE VALIDAÇÃO</t>
  </si>
  <si>
    <t>Gera EFD e valida no PVA.</t>
  </si>
  <si>
    <t>Transmitir EFD com erro estrutural ou Bloco E inconsistente.</t>
  </si>
  <si>
    <t>FORM.FIS.001 - Bloco B09.</t>
  </si>
  <si>
    <t>R06 | E14 - Gerar e aprovar guias | RISCO SUGERIDO — PENDENTE DE VALIDAÇÃO</t>
  </si>
  <si>
    <t>Analista fiscal / revisor</t>
  </si>
  <si>
    <t>Emite e confere guias contra a obrigacao.</t>
  </si>
  <si>
    <t>Enviar guia com valor divergente da obrigacao.</t>
  </si>
  <si>
    <t>FORM.FIS.001 - Bloco B10 Gate 3.</t>
  </si>
  <si>
    <t>R07 | E16 - Fechar competencia e arquivar dossie | RISCO SUGERIDO — PENDENTE DE VALIDAÇÃO</t>
  </si>
  <si>
    <t>Arquiva evidencias e marca FECHADA.</t>
  </si>
  <si>
    <t>Retificar competencia sem documentar motivo/reabertura controlada.</t>
  </si>
  <si>
    <t>FORM.FIS.001 - Bloco B12 e fluxo de retificacao.</t>
  </si>
  <si>
    <t>ESCALAS E MATRIZ DE TOLERABILIDADE (P × G)</t>
  </si>
  <si>
    <t>PROBABILIDADE</t>
  </si>
  <si>
    <t>GRAVIDADE</t>
  </si>
  <si>
    <t>1 - NUNCA</t>
  </si>
  <si>
    <t>Não ocorreu no histórico conhecido.</t>
  </si>
  <si>
    <t>1 - SEM IMPACTO RELEVANTE</t>
  </si>
  <si>
    <t>Retrabalho mínimo, sem interrupção relevante.</t>
  </si>
  <si>
    <t>2 - REMOTA</t>
  </si>
  <si>
    <t>Pouco provável; há controles consistentes.</t>
  </si>
  <si>
    <t>2 - BAIXA</t>
  </si>
  <si>
    <t>Correção simples e impacto limitado.</t>
  </si>
  <si>
    <t>3 - INCOMUM</t>
  </si>
  <si>
    <t>Pode ocorrer em situações específicas.</t>
  </si>
  <si>
    <t>3 - MODERADA</t>
  </si>
  <si>
    <t>Afeta prazo ou qualidade e exige intervenção.</t>
  </si>
  <si>
    <t>4 - OCASIONAL</t>
  </si>
  <si>
    <t>Pode ocorrer ao longo da rotina.</t>
  </si>
  <si>
    <t>4 - ALTA</t>
  </si>
  <si>
    <t>Impacto operacional, financeiro ou ao cliente relevante.</t>
  </si>
  <si>
    <t>5 - FREQUENTE</t>
  </si>
  <si>
    <t>Ocorre repetidamente ou é muito provável.</t>
  </si>
  <si>
    <t>5 - CRÍTICA</t>
  </si>
  <si>
    <t>Impacto grave em conformidade ou continuidade.</t>
  </si>
  <si>
    <t>MATRIZ DE TOLERABILIDADE: 1–4 TOLERÁVEL | 5–10 ALARP | 12 OU MAIS INACEITÁVEL</t>
  </si>
  <si>
    <t>P \ G</t>
  </si>
  <si>
    <t>[string]1</t>
  </si>
  <si>
    <t>[string]2</t>
  </si>
  <si>
    <t>[string]3</t>
  </si>
  <si>
    <t>[string]4</t>
  </si>
  <si>
    <t>[string]5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</si>
</sst>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Bahnschrift"/>
      <family val="2"/>
    </font>
    <font>
      <b/>
      <sz val="10"/>
      <color rgb="FF1F1F1F"/>
      <name val="Bahnschrift"/>
      <family val="2"/>
    </font>
    <font>
      <b/>
      <sz val="10"/>
      <color rgb="FFFFFFFF"/>
      <name val="Bahnschrift"/>
      <family val="2"/>
    </font>
    <font>
      <sz val="11"/>
      <color theme="1"/>
      <name val="Bahnschrift"/>
      <family val="2"/>
    </font>
    <font>
      <sz val="9"/>
      <color rgb="FF1F1F1F"/>
      <name val="Bahnschrift"/>
      <family val="2"/>
    </font>
    <font>
      <b/>
      <sz val="10"/>
      <color theme="1"/>
      <name val="Bahnschrift"/>
      <family val="2"/>
    </font>
    <font>
      <b/>
      <sz val="14"/>
      <color rgb="FF002060"/>
      <name val="Bahnschrift"/>
      <family val="2"/>
    </font>
    <font>
      <sz val="8"/>
      <color rgb="FF1F1F1F"/>
      <name val="Bahnschrift"/>
      <family val="2"/>
    </font>
    <font>
      <b/>
      <sz val="11"/>
      <color theme="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/>
    <xf numFmtId="49" fontId="1" fillId="2" borderId="0" xfId="0" applyNumberFormat="1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49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49" fontId="3" fillId="5" borderId="0" xfId="0" applyNumberFormat="1" applyFont="1" applyFill="1" applyAlignment="1" applyProtection="1">
      <alignment horizontal="left" vertical="center" wrapText="1"/>
    </xf>
    <xf numFmtId="49" fontId="4" fillId="0" borderId="0" xfId="0" applyNumberFormat="1" applyFont="1" applyProtection="1"/>
    <xf numFmtId="49" fontId="5" fillId="0" borderId="1" xfId="0" applyNumberFormat="1" applyFont="1" applyFill="1" applyBorder="1" applyAlignment="1" applyProtection="1">
      <alignment vertical="top" wrapText="1"/>
    </xf>
    <xf numFmtId="49" fontId="6" fillId="3" borderId="1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Alignment="1" applyProtection="1">
      <alignment horizontal="center"/>
    </xf>
    <xf numFmtId="49" fontId="6" fillId="6" borderId="1" xfId="0" applyNumberFormat="1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vertical="top" wrapText="1"/>
      <protection locked="0"/>
    </xf>
    <xf numFmtId="49" fontId="8" fillId="0" borderId="1" xfId="0" applyNumberFormat="1" applyFont="1" applyFill="1" applyBorder="1" applyAlignment="1" applyProtection="1">
      <alignment vertical="top" wrapText="1"/>
    </xf>
    <xf numFmtId="0" fontId="4" fillId="0" borderId="0" xfId="0" applyFont="1" applyProtection="1"/>
    <xf numFmtId="0" fontId="4" fillId="8" borderId="0" xfId="0" applyFont="1" applyFill="1" applyAlignment="1" applyProtection="1">
      <alignment horizontal="center"/>
    </xf>
    <xf numFmtId="0" fontId="4" fillId="0" borderId="0" xfId="0" applyFont="1" applyProtection="1">
      <protection hidden="1"/>
    </xf>
    <xf numFmtId="49" fontId="4" fillId="0" borderId="0" xfId="0" applyNumberFormat="1" applyFont="1" applyProtection="1">
      <protection locked="0"/>
    </xf>
    <xf numFmtId="49" fontId="9" fillId="0" borderId="1" xfId="0" applyNumberFormat="1" applyFont="1" applyFill="1" applyBorder="1" applyAlignment="1" applyProtection="1">
      <alignment horizontal="center"/>
    </xf>
    <xf numFmtId="0" fontId="4" fillId="9" borderId="0" xfId="0" applyFont="1" applyFill="1" applyAlignment="1" applyProtection="1">
      <alignment horizontal="center"/>
    </xf>
    <xf numFmtId="0" fontId="4" fillId="10" borderId="0" xfId="0" applyFont="1" applyFill="1" applyAlignment="1" applyProtection="1">
      <alignment horizontal="center"/>
    </xf>
    <xf numFmtId="0" fontId="4" fillId="11" borderId="0" xfId="0" applyFont="1" applyFill="1" applyAlignment="1" applyProtection="1">
      <alignment horizontal="center"/>
    </xf>
  </cellXfs>
  <cellStyles count="1">
    <cellStyle name="Normal" xfId="0" builtinId="0"/>
  </cellStyles>
  <dxfs count="45"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993775</xdr:colOff>
      <xdr:row>1</xdr:row>
      <xdr:rowOff>114300</xdr:rowOff>
    </xdr:to>
    <xdr:pic>
      <xdr:nvPicPr>
        <xdr:cNvPr id="3" name="EXATAS_LOGO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50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showGridLines="0" tabSelected="1" workbookViewId="0">
      <selection activeCell="A49" sqref="A49"/>
    </sheetView>
  </sheetViews>
  <sheetFormatPr defaultRowHeight="15" x14ac:dyDescent="0.25"/>
  <cols>
    <col min="1" max="1" width="12.7109375" style="1" customWidth="1"/>
    <col min="2" max="2" width="17.7109375" style="1" customWidth="1"/>
    <col min="3" max="3" width="27.7109375" style="1" customWidth="1"/>
    <col min="4" max="4" width="24.7109375" style="1" customWidth="1"/>
    <col min="5" max="5" width="23.7109375" style="1" customWidth="1"/>
    <col min="6" max="7" width="6.7109375" style="1" customWidth="1"/>
    <col min="8" max="8" width="8.7109375" style="1" customWidth="1"/>
    <col min="9" max="9" width="15.7109375" style="1" customWidth="1"/>
    <col min="10" max="11" width="23.7109375" style="1" customWidth="1"/>
    <col min="12" max="16384" width="9.140625" style="1"/>
  </cols>
  <sheetData>
    <row r="1" spans="1:11" ht="24" customHeight="1" x14ac:dyDescent="0.25">
      <c r="A1" s="15"/>
      <c r="B1" s="15"/>
      <c r="C1" s="2" t="s">
        <v>0</v>
      </c>
      <c r="D1" s="3"/>
      <c r="E1" s="3"/>
      <c r="F1" s="3"/>
      <c r="G1" s="3"/>
      <c r="H1" s="3"/>
      <c r="I1" s="4" t="s">
        <v>1</v>
      </c>
      <c r="J1" s="5" t="s">
        <v>22</v>
      </c>
      <c r="K1" s="6"/>
    </row>
    <row r="2" spans="1:11" ht="24" customHeight="1" x14ac:dyDescent="0.25">
      <c r="A2" s="15"/>
      <c r="B2" s="15"/>
      <c r="C2" s="3"/>
      <c r="D2" s="3"/>
      <c r="E2" s="3"/>
      <c r="F2" s="3"/>
      <c r="G2" s="3"/>
      <c r="H2" s="3"/>
      <c r="I2" s="4" t="s">
        <v>2</v>
      </c>
      <c r="J2" s="5" t="s">
        <v>3</v>
      </c>
      <c r="K2" s="6"/>
    </row>
    <row r="3" spans="1:11" x14ac:dyDescent="0.25">
      <c r="A3" s="4" t="s">
        <v>23</v>
      </c>
      <c r="B3" s="5" t="s">
        <v>24</v>
      </c>
      <c r="C3" s="6"/>
      <c r="D3" s="4" t="s">
        <v>25</v>
      </c>
      <c r="E3" s="5" t="s">
        <v>26</v>
      </c>
      <c r="F3" s="6"/>
      <c r="G3" s="6"/>
      <c r="H3" s="6"/>
      <c r="I3" s="4" t="s">
        <v>27</v>
      </c>
      <c r="J3" s="5" t="s">
        <v>28</v>
      </c>
      <c r="K3" s="6"/>
    </row>
    <row r="4" spans="1:11" ht="35.1" customHeight="1" x14ac:dyDescent="0.25">
      <c r="A4" s="4" t="s">
        <v>29</v>
      </c>
      <c r="B4" s="5" t="s">
        <v>30</v>
      </c>
      <c r="C4" s="6"/>
      <c r="D4" s="6"/>
      <c r="E4" s="6"/>
      <c r="F4" s="6"/>
      <c r="G4" s="6"/>
      <c r="H4" s="6"/>
      <c r="I4" s="4" t="s">
        <v>31</v>
      </c>
      <c r="J4" s="5" t="s">
        <v>28</v>
      </c>
      <c r="K4" s="6"/>
    </row>
    <row r="5" spans="1:11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51" x14ac:dyDescent="0.25">
      <c r="A6" s="7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25.5" x14ac:dyDescent="0.25">
      <c r="A7" s="4" t="s">
        <v>5</v>
      </c>
      <c r="B7" s="15"/>
      <c r="C7" s="8" t="s">
        <v>6</v>
      </c>
      <c r="D7" s="15"/>
      <c r="E7" s="8" t="s">
        <v>7</v>
      </c>
      <c r="F7" s="15"/>
      <c r="G7" s="15"/>
      <c r="H7" s="8" t="s">
        <v>8</v>
      </c>
      <c r="I7" s="15"/>
      <c r="J7" s="15"/>
      <c r="K7" s="15"/>
    </row>
    <row r="8" spans="1:11" ht="30.95" customHeight="1" x14ac:dyDescent="0.25">
      <c r="A8" s="9" t="s">
        <v>32</v>
      </c>
      <c r="B8" s="15"/>
      <c r="C8" s="8" t="s">
        <v>33</v>
      </c>
      <c r="D8" s="15"/>
      <c r="E8" s="8" t="s">
        <v>32</v>
      </c>
      <c r="F8" s="15"/>
      <c r="G8" s="15"/>
      <c r="H8" s="8" t="s">
        <v>34</v>
      </c>
      <c r="I8" s="15"/>
      <c r="J8" s="15"/>
      <c r="K8" s="15"/>
    </row>
    <row r="9" spans="1:11" ht="30.95" customHeight="1" x14ac:dyDescent="0.25">
      <c r="A9" s="9" t="s">
        <v>35</v>
      </c>
      <c r="B9" s="15"/>
      <c r="C9" s="8" t="s">
        <v>36</v>
      </c>
      <c r="D9" s="15"/>
      <c r="E9" s="8" t="s">
        <v>37</v>
      </c>
      <c r="F9" s="15"/>
      <c r="G9" s="15"/>
      <c r="H9" s="8" t="s">
        <v>38</v>
      </c>
      <c r="I9" s="15"/>
      <c r="J9" s="15"/>
      <c r="K9" s="15"/>
    </row>
    <row r="10" spans="1:11" ht="30.95" customHeight="1" x14ac:dyDescent="0.25">
      <c r="A10" s="9" t="s">
        <v>39</v>
      </c>
      <c r="B10" s="15"/>
      <c r="C10" s="8" t="s">
        <v>40</v>
      </c>
      <c r="D10" s="15"/>
      <c r="E10" s="8" t="s">
        <v>41</v>
      </c>
      <c r="F10" s="15"/>
      <c r="G10" s="15"/>
      <c r="H10" s="8" t="s">
        <v>42</v>
      </c>
      <c r="I10" s="15"/>
      <c r="J10" s="15"/>
      <c r="K10" s="15"/>
    </row>
    <row r="11" spans="1:11" ht="30.95" customHeight="1" x14ac:dyDescent="0.25">
      <c r="A11" s="9" t="s">
        <v>43</v>
      </c>
      <c r="B11" s="15"/>
      <c r="C11" s="8" t="s">
        <v>44</v>
      </c>
      <c r="D11" s="15"/>
      <c r="E11" s="8" t="s">
        <v>45</v>
      </c>
      <c r="F11" s="15"/>
      <c r="G11" s="15"/>
      <c r="H11" s="8" t="s">
        <v>46</v>
      </c>
      <c r="I11" s="15"/>
      <c r="J11" s="15"/>
      <c r="K11" s="15"/>
    </row>
    <row r="12" spans="1:11" ht="30.95" customHeight="1" x14ac:dyDescent="0.25">
      <c r="A12" s="9" t="s">
        <v>47</v>
      </c>
      <c r="B12" s="15"/>
      <c r="C12" s="8" t="s">
        <v>48</v>
      </c>
      <c r="D12" s="15"/>
      <c r="E12" s="8" t="s">
        <v>49</v>
      </c>
      <c r="F12" s="15"/>
      <c r="G12" s="15"/>
      <c r="H12" s="8" t="s">
        <v>50</v>
      </c>
      <c r="I12" s="15"/>
      <c r="J12" s="15"/>
      <c r="K12" s="15"/>
    </row>
    <row r="13" spans="1:11" ht="30.95" customHeight="1" x14ac:dyDescent="0.25">
      <c r="A13" s="9" t="s">
        <v>51</v>
      </c>
      <c r="B13" s="15"/>
      <c r="C13" s="8" t="s">
        <v>51</v>
      </c>
      <c r="D13" s="15"/>
      <c r="E13" s="8" t="s">
        <v>51</v>
      </c>
      <c r="F13" s="15"/>
      <c r="G13" s="15"/>
      <c r="H13" s="8" t="s">
        <v>52</v>
      </c>
      <c r="I13" s="15"/>
      <c r="J13" s="15"/>
      <c r="K13" s="15"/>
    </row>
    <row r="14" spans="1:11" ht="38.25" x14ac:dyDescent="0.25">
      <c r="A14" s="7" t="s">
        <v>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29.1" customHeight="1" x14ac:dyDescent="0.25">
      <c r="A15" s="10" t="s">
        <v>53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8" customHeight="1" x14ac:dyDescent="0.25">
      <c r="A16" s="11" t="s">
        <v>54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29.1" customHeight="1" x14ac:dyDescent="0.25">
      <c r="A17" s="12" t="s">
        <v>55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18" customHeight="1" x14ac:dyDescent="0.25">
      <c r="A18" s="11" t="s">
        <v>54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9.1" customHeight="1" x14ac:dyDescent="0.25">
      <c r="A19" s="10" t="s">
        <v>56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18" customHeight="1" x14ac:dyDescent="0.25">
      <c r="A20" s="11" t="s">
        <v>54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29.1" customHeight="1" x14ac:dyDescent="0.25">
      <c r="A21" s="12" t="s">
        <v>57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8" customHeight="1" x14ac:dyDescent="0.25">
      <c r="A22" s="11" t="s">
        <v>54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29.1" customHeight="1" x14ac:dyDescent="0.25">
      <c r="A23" s="10" t="s">
        <v>58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18" customHeight="1" x14ac:dyDescent="0.25">
      <c r="A24" s="11" t="s">
        <v>54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29.1" customHeight="1" x14ac:dyDescent="0.25">
      <c r="A25" s="12" t="s">
        <v>59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18" customHeight="1" x14ac:dyDescent="0.25">
      <c r="A26" s="11" t="s">
        <v>54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29.1" customHeight="1" x14ac:dyDescent="0.25">
      <c r="A27" s="10" t="s">
        <v>60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8" customHeight="1" x14ac:dyDescent="0.25">
      <c r="A28" s="11" t="s">
        <v>54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29.1" customHeight="1" x14ac:dyDescent="0.25">
      <c r="A29" s="12" t="s">
        <v>61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18" customHeight="1" x14ac:dyDescent="0.25">
      <c r="A30" s="11" t="s">
        <v>54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29.1" customHeight="1" x14ac:dyDescent="0.25">
      <c r="A31" s="10" t="s">
        <v>62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18" customHeight="1" x14ac:dyDescent="0.25">
      <c r="A32" s="11" t="s">
        <v>54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29.1" customHeight="1" x14ac:dyDescent="0.25">
      <c r="A33" s="12" t="s">
        <v>63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8" customHeight="1" x14ac:dyDescent="0.25">
      <c r="A34" s="11" t="s">
        <v>54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29.1" customHeight="1" x14ac:dyDescent="0.25">
      <c r="A35" s="10" t="s">
        <v>64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8" customHeight="1" x14ac:dyDescent="0.25">
      <c r="A36" s="11" t="s">
        <v>54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29.1" customHeight="1" x14ac:dyDescent="0.25">
      <c r="A37" s="12" t="s">
        <v>65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8" customHeight="1" x14ac:dyDescent="0.25">
      <c r="A38" s="11" t="s">
        <v>54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29.1" customHeight="1" x14ac:dyDescent="0.25">
      <c r="A39" s="10" t="s">
        <v>66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8" customHeight="1" x14ac:dyDescent="0.25">
      <c r="A40" s="11" t="s">
        <v>54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ht="29.1" customHeight="1" x14ac:dyDescent="0.25">
      <c r="A41" s="12" t="s">
        <v>67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8" customHeight="1" x14ac:dyDescent="0.25">
      <c r="A42" s="11" t="s">
        <v>54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29.1" customHeight="1" x14ac:dyDescent="0.25">
      <c r="A43" s="10" t="s">
        <v>68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8" customHeight="1" x14ac:dyDescent="0.25">
      <c r="A44" s="11" t="s">
        <v>54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29.1" customHeight="1" x14ac:dyDescent="0.25">
      <c r="A45" s="12" t="s">
        <v>69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51" x14ac:dyDescent="0.25">
      <c r="A47" s="7" t="s">
        <v>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45" customHeight="1" x14ac:dyDescent="0.25">
      <c r="A48" s="4" t="s">
        <v>11</v>
      </c>
      <c r="B48" s="8" t="s">
        <v>12</v>
      </c>
      <c r="C48" s="8" t="s">
        <v>13</v>
      </c>
      <c r="D48" s="8" t="s">
        <v>14</v>
      </c>
      <c r="E48" s="8" t="s">
        <v>15</v>
      </c>
      <c r="F48" s="8" t="s">
        <v>16</v>
      </c>
      <c r="G48" s="8" t="s">
        <v>17</v>
      </c>
      <c r="H48" s="8" t="s">
        <v>18</v>
      </c>
      <c r="I48" s="8" t="s">
        <v>19</v>
      </c>
      <c r="J48" s="8" t="s">
        <v>20</v>
      </c>
      <c r="K48" s="8" t="s">
        <v>21</v>
      </c>
    </row>
    <row r="49" spans="1:11" ht="72" customHeight="1" x14ac:dyDescent="0.25">
      <c r="A49" s="13" t="s">
        <v>70</v>
      </c>
      <c r="B49" s="8" t="s">
        <v>47</v>
      </c>
      <c r="C49" s="8" t="s">
        <v>71</v>
      </c>
      <c r="D49" s="8" t="s">
        <v>72</v>
      </c>
      <c r="E49" s="8" t="s">
        <v>73</v>
      </c>
      <c r="F49" s="16"/>
      <c r="G49" s="15"/>
      <c r="H49" s="17" t="str">
        <f>IF(OR(F49="",G49=""),"",F49*G49)</f>
        <v/>
      </c>
      <c r="I49" s="15" t="str">
        <f>IF(H49="","",IF(H49&lt;=4,"TOLERÁVEL",IF(H49&lt;=10,"ALARP","INACEITÁVEL")))</f>
        <v/>
      </c>
      <c r="J49" s="18" t="s">
        <v>51</v>
      </c>
      <c r="K49" s="8" t="s">
        <v>51</v>
      </c>
    </row>
    <row r="50" spans="1:11" ht="72" customHeight="1" x14ac:dyDescent="0.25">
      <c r="A50" s="13" t="s">
        <v>74</v>
      </c>
      <c r="B50" s="8" t="s">
        <v>47</v>
      </c>
      <c r="C50" s="8" t="s">
        <v>75</v>
      </c>
      <c r="D50" s="8" t="s">
        <v>76</v>
      </c>
      <c r="E50" s="8" t="s">
        <v>77</v>
      </c>
      <c r="F50" s="16"/>
      <c r="G50" s="15"/>
      <c r="H50" s="17" t="str">
        <f>IF(OR(F50="",G50=""),"",F50*G50)</f>
        <v/>
      </c>
      <c r="I50" s="15" t="str">
        <f>IF(H50="","",IF(H50&lt;=4,"TOLERÁVEL",IF(H50&lt;=10,"ALARP","INACEITÁVEL")))</f>
        <v/>
      </c>
      <c r="J50" s="18" t="s">
        <v>51</v>
      </c>
      <c r="K50" s="8" t="s">
        <v>51</v>
      </c>
    </row>
    <row r="51" spans="1:11" ht="72" customHeight="1" x14ac:dyDescent="0.25">
      <c r="A51" s="13" t="s">
        <v>78</v>
      </c>
      <c r="B51" s="8" t="s">
        <v>47</v>
      </c>
      <c r="C51" s="8" t="s">
        <v>79</v>
      </c>
      <c r="D51" s="8" t="s">
        <v>80</v>
      </c>
      <c r="E51" s="8" t="s">
        <v>81</v>
      </c>
      <c r="F51" s="16"/>
      <c r="G51" s="15"/>
      <c r="H51" s="17" t="str">
        <f>IF(OR(F51="",G51=""),"",F51*G51)</f>
        <v/>
      </c>
      <c r="I51" s="15" t="str">
        <f>IF(H51="","",IF(H51&lt;=4,"TOLERÁVEL",IF(H51&lt;=10,"ALARP","INACEITÁVEL")))</f>
        <v/>
      </c>
      <c r="J51" s="18" t="s">
        <v>51</v>
      </c>
      <c r="K51" s="8" t="s">
        <v>51</v>
      </c>
    </row>
    <row r="52" spans="1:11" ht="72" customHeight="1" x14ac:dyDescent="0.25">
      <c r="A52" s="13" t="s">
        <v>82</v>
      </c>
      <c r="B52" s="8" t="s">
        <v>47</v>
      </c>
      <c r="C52" s="8" t="s">
        <v>83</v>
      </c>
      <c r="D52" s="8" t="s">
        <v>84</v>
      </c>
      <c r="E52" s="8" t="s">
        <v>85</v>
      </c>
      <c r="F52" s="16"/>
      <c r="G52" s="15"/>
      <c r="H52" s="17" t="str">
        <f>IF(OR(F52="",G52=""),"",F52*G52)</f>
        <v/>
      </c>
      <c r="I52" s="15" t="str">
        <f>IF(H52="","",IF(H52&lt;=4,"TOLERÁVEL",IF(H52&lt;=10,"ALARP","INACEITÁVEL")))</f>
        <v/>
      </c>
      <c r="J52" s="18" t="s">
        <v>51</v>
      </c>
      <c r="K52" s="8" t="s">
        <v>51</v>
      </c>
    </row>
    <row r="53" spans="1:11" ht="72" customHeight="1" x14ac:dyDescent="0.25">
      <c r="A53" s="13" t="s">
        <v>86</v>
      </c>
      <c r="B53" s="8" t="s">
        <v>47</v>
      </c>
      <c r="C53" s="8" t="s">
        <v>87</v>
      </c>
      <c r="D53" s="8" t="s">
        <v>88</v>
      </c>
      <c r="E53" s="8" t="s">
        <v>89</v>
      </c>
      <c r="F53" s="16"/>
      <c r="G53" s="15"/>
      <c r="H53" s="17" t="str">
        <f>IF(OR(F53="",G53=""),"",F53*G53)</f>
        <v/>
      </c>
      <c r="I53" s="15" t="str">
        <f>IF(H53="","",IF(H53&lt;=4,"TOLERÁVEL",IF(H53&lt;=10,"ALARP","INACEITÁVEL")))</f>
        <v/>
      </c>
      <c r="J53" s="18" t="s">
        <v>51</v>
      </c>
      <c r="K53" s="8" t="s">
        <v>51</v>
      </c>
    </row>
    <row r="54" spans="1:11" ht="72" customHeight="1" x14ac:dyDescent="0.25">
      <c r="A54" s="13" t="s">
        <v>90</v>
      </c>
      <c r="B54" s="8" t="s">
        <v>91</v>
      </c>
      <c r="C54" s="8" t="s">
        <v>92</v>
      </c>
      <c r="D54" s="8" t="s">
        <v>93</v>
      </c>
      <c r="E54" s="8" t="s">
        <v>94</v>
      </c>
      <c r="F54" s="16"/>
      <c r="G54" s="15"/>
      <c r="H54" s="17" t="str">
        <f>IF(OR(F54="",G54=""),"",F54*G54)</f>
        <v/>
      </c>
      <c r="I54" s="15" t="str">
        <f>IF(H54="","",IF(H54&lt;=4,"TOLERÁVEL",IF(H54&lt;=10,"ALARP","INACEITÁVEL")))</f>
        <v/>
      </c>
      <c r="J54" s="18" t="s">
        <v>51</v>
      </c>
      <c r="K54" s="8" t="s">
        <v>51</v>
      </c>
    </row>
    <row r="55" spans="1:11" ht="72" customHeight="1" x14ac:dyDescent="0.25">
      <c r="A55" s="13" t="s">
        <v>95</v>
      </c>
      <c r="B55" s="8" t="s">
        <v>47</v>
      </c>
      <c r="C55" s="8" t="s">
        <v>96</v>
      </c>
      <c r="D55" s="8" t="s">
        <v>97</v>
      </c>
      <c r="E55" s="8" t="s">
        <v>98</v>
      </c>
      <c r="F55" s="16"/>
      <c r="G55" s="15"/>
      <c r="H55" s="17" t="str">
        <f>IF(OR(F55="",G55=""),"",F55*G55)</f>
        <v/>
      </c>
      <c r="I55" s="15" t="str">
        <f>IF(H55="","",IF(H55&lt;=4,"TOLERÁVEL",IF(H55&lt;=10,"ALARP","INACEITÁVEL")))</f>
        <v/>
      </c>
      <c r="J55" s="18" t="s">
        <v>51</v>
      </c>
      <c r="K55" s="8" t="s">
        <v>51</v>
      </c>
    </row>
    <row r="56" spans="1:1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51" x14ac:dyDescent="0.25">
      <c r="A57" s="7" t="s">
        <v>99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ht="25.5" x14ac:dyDescent="0.25">
      <c r="A58" s="4" t="s">
        <v>100</v>
      </c>
      <c r="B58" s="15"/>
      <c r="C58" s="15"/>
      <c r="D58" s="15"/>
      <c r="E58" s="15"/>
      <c r="F58" s="8" t="s">
        <v>101</v>
      </c>
      <c r="G58" s="15"/>
      <c r="H58" s="15"/>
      <c r="I58" s="15"/>
      <c r="J58" s="15"/>
      <c r="K58" s="15"/>
    </row>
    <row r="59" spans="1:11" ht="30.95" customHeight="1" x14ac:dyDescent="0.25">
      <c r="A59" s="14" t="s">
        <v>102</v>
      </c>
      <c r="B59" s="15"/>
      <c r="C59" s="8" t="s">
        <v>103</v>
      </c>
      <c r="D59" s="15"/>
      <c r="E59" s="15"/>
      <c r="F59" s="8" t="s">
        <v>104</v>
      </c>
      <c r="G59" s="15"/>
      <c r="H59" s="8" t="s">
        <v>105</v>
      </c>
      <c r="I59" s="15"/>
      <c r="J59" s="15"/>
      <c r="K59" s="15"/>
    </row>
    <row r="60" spans="1:11" ht="30.95" customHeight="1" x14ac:dyDescent="0.25">
      <c r="A60" s="14" t="s">
        <v>106</v>
      </c>
      <c r="B60" s="15"/>
      <c r="C60" s="8" t="s">
        <v>107</v>
      </c>
      <c r="D60" s="15"/>
      <c r="E60" s="15"/>
      <c r="F60" s="8" t="s">
        <v>108</v>
      </c>
      <c r="G60" s="15"/>
      <c r="H60" s="8" t="s">
        <v>109</v>
      </c>
      <c r="I60" s="15"/>
      <c r="J60" s="15"/>
      <c r="K60" s="15"/>
    </row>
    <row r="61" spans="1:11" ht="30.95" customHeight="1" x14ac:dyDescent="0.25">
      <c r="A61" s="14" t="s">
        <v>110</v>
      </c>
      <c r="B61" s="15"/>
      <c r="C61" s="8" t="s">
        <v>111</v>
      </c>
      <c r="D61" s="15"/>
      <c r="E61" s="15"/>
      <c r="F61" s="8" t="s">
        <v>112</v>
      </c>
      <c r="G61" s="15"/>
      <c r="H61" s="8" t="s">
        <v>113</v>
      </c>
      <c r="I61" s="15"/>
      <c r="J61" s="15"/>
      <c r="K61" s="15"/>
    </row>
    <row r="62" spans="1:11" ht="30.95" customHeight="1" x14ac:dyDescent="0.25">
      <c r="A62" s="14" t="s">
        <v>114</v>
      </c>
      <c r="B62" s="15"/>
      <c r="C62" s="8" t="s">
        <v>115</v>
      </c>
      <c r="D62" s="15"/>
      <c r="E62" s="15"/>
      <c r="F62" s="8" t="s">
        <v>116</v>
      </c>
      <c r="G62" s="15"/>
      <c r="H62" s="8" t="s">
        <v>117</v>
      </c>
      <c r="I62" s="15"/>
      <c r="J62" s="15"/>
      <c r="K62" s="15"/>
    </row>
    <row r="63" spans="1:11" ht="30.95" customHeight="1" x14ac:dyDescent="0.25">
      <c r="A63" s="14" t="s">
        <v>118</v>
      </c>
      <c r="B63" s="15"/>
      <c r="C63" s="8" t="s">
        <v>119</v>
      </c>
      <c r="D63" s="15"/>
      <c r="E63" s="15"/>
      <c r="F63" s="8" t="s">
        <v>120</v>
      </c>
      <c r="G63" s="15"/>
      <c r="H63" s="8" t="s">
        <v>121</v>
      </c>
      <c r="I63" s="15"/>
      <c r="J63" s="15"/>
      <c r="K63" s="15"/>
    </row>
    <row r="64" spans="1:1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ht="89.25" x14ac:dyDescent="0.25">
      <c r="A65" s="4" t="s">
        <v>122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x14ac:dyDescent="0.25">
      <c r="A66" s="4" t="s">
        <v>123</v>
      </c>
      <c r="B66" s="8" t="s">
        <v>124</v>
      </c>
      <c r="C66" s="8" t="s">
        <v>125</v>
      </c>
      <c r="D66" s="8" t="s">
        <v>126</v>
      </c>
      <c r="E66" s="8" t="s">
        <v>127</v>
      </c>
      <c r="F66" s="8" t="s">
        <v>128</v>
      </c>
      <c r="G66" s="15"/>
      <c r="H66" s="15"/>
      <c r="I66" s="15"/>
      <c r="J66" s="15"/>
      <c r="K66" s="15"/>
    </row>
    <row r="67" spans="1:11" x14ac:dyDescent="0.25">
      <c r="A67" s="19" t="s">
        <v>128</v>
      </c>
      <c r="B67" s="20">
        <v>5</v>
      </c>
      <c r="C67" s="20">
        <v>10</v>
      </c>
      <c r="D67" s="21">
        <v>15</v>
      </c>
      <c r="E67" s="21">
        <v>20</v>
      </c>
      <c r="F67" s="21">
        <v>25</v>
      </c>
      <c r="G67" s="15"/>
      <c r="H67" s="15"/>
      <c r="I67" s="15"/>
      <c r="J67" s="15"/>
      <c r="K67" s="15"/>
    </row>
    <row r="68" spans="1:11" x14ac:dyDescent="0.25">
      <c r="A68" s="19" t="s">
        <v>127</v>
      </c>
      <c r="B68" s="22">
        <v>4</v>
      </c>
      <c r="C68" s="20">
        <v>8</v>
      </c>
      <c r="D68" s="21">
        <v>12</v>
      </c>
      <c r="E68" s="21">
        <v>16</v>
      </c>
      <c r="F68" s="21">
        <v>20</v>
      </c>
      <c r="G68" s="15"/>
      <c r="H68" s="15"/>
      <c r="I68" s="15"/>
      <c r="J68" s="15"/>
      <c r="K68" s="15"/>
    </row>
    <row r="69" spans="1:11" x14ac:dyDescent="0.25">
      <c r="A69" s="19" t="s">
        <v>126</v>
      </c>
      <c r="B69" s="22">
        <v>3</v>
      </c>
      <c r="C69" s="20">
        <v>6</v>
      </c>
      <c r="D69" s="20">
        <v>9</v>
      </c>
      <c r="E69" s="21">
        <v>12</v>
      </c>
      <c r="F69" s="21">
        <v>15</v>
      </c>
      <c r="G69" s="15"/>
      <c r="H69" s="15"/>
      <c r="I69" s="15"/>
      <c r="J69" s="15"/>
      <c r="K69" s="15"/>
    </row>
    <row r="70" spans="1:11" x14ac:dyDescent="0.25">
      <c r="A70" s="19" t="s">
        <v>125</v>
      </c>
      <c r="B70" s="22">
        <v>2</v>
      </c>
      <c r="C70" s="22">
        <v>4</v>
      </c>
      <c r="D70" s="20">
        <v>6</v>
      </c>
      <c r="E70" s="20">
        <v>8</v>
      </c>
      <c r="F70" s="20">
        <v>10</v>
      </c>
      <c r="G70" s="15"/>
      <c r="H70" s="15"/>
      <c r="I70" s="15"/>
      <c r="J70" s="15"/>
      <c r="K70" s="15"/>
    </row>
    <row r="71" spans="1:11" x14ac:dyDescent="0.25">
      <c r="A71" s="19" t="s">
        <v>124</v>
      </c>
      <c r="B71" s="22">
        <v>1</v>
      </c>
      <c r="C71" s="22">
        <v>2</v>
      </c>
      <c r="D71" s="22">
        <v>3</v>
      </c>
      <c r="E71" s="22">
        <v>4</v>
      </c>
      <c r="F71" s="20">
        <v>5</v>
      </c>
      <c r="G71" s="15"/>
      <c r="H71" s="15"/>
      <c r="I71" s="15"/>
      <c r="J71" s="15"/>
      <c r="K71" s="15"/>
    </row>
  </sheetData>
  <sheetProtection sheet="1" scenarios="1" selectLockedCells="1"/>
  <mergeCells count="8">
    <mergeCell ref="J4:K4"/>
    <mergeCell ref="C1:H2"/>
    <mergeCell ref="J2:K2"/>
    <mergeCell ref="J1:K1"/>
    <mergeCell ref="B3:C3"/>
    <mergeCell ref="E3:H3"/>
    <mergeCell ref="J3:K3"/>
    <mergeCell ref="B4:H4"/>
  </mergeCells>
  <conditionalFormatting sqref="H49">
    <cfRule type="cellIs" dxfId="41" priority="1" stopIfTrue="1" operator="lessThanOrEqual">
      <formula>4</formula>
    </cfRule>
    <cfRule type="cellIs" dxfId="40" priority="2" stopIfTrue="1" operator="between">
      <formula>5</formula>
      <formula>10</formula>
    </cfRule>
    <cfRule type="cellIs" dxfId="39" priority="3" stopIfTrue="1" operator="greaterThanOrEqual">
      <formula>12</formula>
    </cfRule>
  </conditionalFormatting>
  <conditionalFormatting sqref="I49">
    <cfRule type="cellIs" dxfId="38" priority="4" stopIfTrue="1" operator="equal">
      <formula>"TOLERÁVEL"</formula>
    </cfRule>
    <cfRule type="cellIs" dxfId="37" priority="5" stopIfTrue="1" operator="equal">
      <formula>"ALARP"</formula>
    </cfRule>
    <cfRule type="cellIs" dxfId="36" priority="6" stopIfTrue="1" operator="equal">
      <formula>"INACEITÁVEL"</formula>
    </cfRule>
  </conditionalFormatting>
  <conditionalFormatting sqref="H50">
    <cfRule type="cellIs" dxfId="35" priority="7" stopIfTrue="1" operator="lessThanOrEqual">
      <formula>4</formula>
    </cfRule>
    <cfRule type="cellIs" dxfId="34" priority="8" stopIfTrue="1" operator="between">
      <formula>5</formula>
      <formula>10</formula>
    </cfRule>
    <cfRule type="cellIs" dxfId="33" priority="9" stopIfTrue="1" operator="greaterThanOrEqual">
      <formula>12</formula>
    </cfRule>
  </conditionalFormatting>
  <conditionalFormatting sqref="I50">
    <cfRule type="cellIs" dxfId="32" priority="10" stopIfTrue="1" operator="equal">
      <formula>"TOLERÁVEL"</formula>
    </cfRule>
    <cfRule type="cellIs" dxfId="31" priority="11" stopIfTrue="1" operator="equal">
      <formula>"ALARP"</formula>
    </cfRule>
    <cfRule type="cellIs" dxfId="30" priority="12" stopIfTrue="1" operator="equal">
      <formula>"INACEITÁVEL"</formula>
    </cfRule>
  </conditionalFormatting>
  <conditionalFormatting sqref="H51">
    <cfRule type="cellIs" dxfId="29" priority="13" stopIfTrue="1" operator="lessThanOrEqual">
      <formula>4</formula>
    </cfRule>
    <cfRule type="cellIs" dxfId="28" priority="14" stopIfTrue="1" operator="between">
      <formula>5</formula>
      <formula>10</formula>
    </cfRule>
    <cfRule type="cellIs" dxfId="27" priority="15" stopIfTrue="1" operator="greaterThanOrEqual">
      <formula>12</formula>
    </cfRule>
  </conditionalFormatting>
  <conditionalFormatting sqref="I51">
    <cfRule type="cellIs" dxfId="26" priority="16" stopIfTrue="1" operator="equal">
      <formula>"TOLERÁVEL"</formula>
    </cfRule>
    <cfRule type="cellIs" dxfId="25" priority="17" stopIfTrue="1" operator="equal">
      <formula>"ALARP"</formula>
    </cfRule>
    <cfRule type="cellIs" dxfId="24" priority="18" stopIfTrue="1" operator="equal">
      <formula>"INACEITÁVEL"</formula>
    </cfRule>
  </conditionalFormatting>
  <conditionalFormatting sqref="H52">
    <cfRule type="cellIs" dxfId="23" priority="19" stopIfTrue="1" operator="lessThanOrEqual">
      <formula>4</formula>
    </cfRule>
    <cfRule type="cellIs" dxfId="22" priority="20" stopIfTrue="1" operator="between">
      <formula>5</formula>
      <formula>10</formula>
    </cfRule>
    <cfRule type="cellIs" dxfId="21" priority="21" stopIfTrue="1" operator="greaterThanOrEqual">
      <formula>12</formula>
    </cfRule>
  </conditionalFormatting>
  <conditionalFormatting sqref="I52">
    <cfRule type="cellIs" dxfId="20" priority="22" stopIfTrue="1" operator="equal">
      <formula>"TOLERÁVEL"</formula>
    </cfRule>
    <cfRule type="cellIs" dxfId="19" priority="23" stopIfTrue="1" operator="equal">
      <formula>"ALARP"</formula>
    </cfRule>
    <cfRule type="cellIs" dxfId="18" priority="24" stopIfTrue="1" operator="equal">
      <formula>"INACEITÁVEL"</formula>
    </cfRule>
  </conditionalFormatting>
  <conditionalFormatting sqref="H53">
    <cfRule type="cellIs" dxfId="17" priority="25" stopIfTrue="1" operator="lessThanOrEqual">
      <formula>4</formula>
    </cfRule>
    <cfRule type="cellIs" dxfId="16" priority="26" stopIfTrue="1" operator="between">
      <formula>5</formula>
      <formula>10</formula>
    </cfRule>
    <cfRule type="cellIs" dxfId="15" priority="27" stopIfTrue="1" operator="greaterThanOrEqual">
      <formula>12</formula>
    </cfRule>
  </conditionalFormatting>
  <conditionalFormatting sqref="I53">
    <cfRule type="cellIs" dxfId="14" priority="28" stopIfTrue="1" operator="equal">
      <formula>"TOLERÁVEL"</formula>
    </cfRule>
    <cfRule type="cellIs" dxfId="13" priority="29" stopIfTrue="1" operator="equal">
      <formula>"ALARP"</formula>
    </cfRule>
    <cfRule type="cellIs" dxfId="12" priority="30" stopIfTrue="1" operator="equal">
      <formula>"INACEITÁVEL"</formula>
    </cfRule>
  </conditionalFormatting>
  <conditionalFormatting sqref="H54">
    <cfRule type="cellIs" dxfId="11" priority="31" stopIfTrue="1" operator="lessThanOrEqual">
      <formula>4</formula>
    </cfRule>
    <cfRule type="cellIs" dxfId="10" priority="32" stopIfTrue="1" operator="between">
      <formula>5</formula>
      <formula>10</formula>
    </cfRule>
    <cfRule type="cellIs" dxfId="9" priority="33" stopIfTrue="1" operator="greaterThanOrEqual">
      <formula>12</formula>
    </cfRule>
  </conditionalFormatting>
  <conditionalFormatting sqref="I54">
    <cfRule type="cellIs" dxfId="8" priority="34" stopIfTrue="1" operator="equal">
      <formula>"TOLERÁVEL"</formula>
    </cfRule>
    <cfRule type="cellIs" dxfId="7" priority="35" stopIfTrue="1" operator="equal">
      <formula>"ALARP"</formula>
    </cfRule>
    <cfRule type="cellIs" dxfId="6" priority="36" stopIfTrue="1" operator="equal">
      <formula>"INACEITÁVEL"</formula>
    </cfRule>
  </conditionalFormatting>
  <conditionalFormatting sqref="H55">
    <cfRule type="cellIs" dxfId="5" priority="37" stopIfTrue="1" operator="lessThanOrEqual">
      <formula>4</formula>
    </cfRule>
    <cfRule type="cellIs" dxfId="4" priority="38" stopIfTrue="1" operator="between">
      <formula>5</formula>
      <formula>10</formula>
    </cfRule>
    <cfRule type="cellIs" dxfId="3" priority="39" stopIfTrue="1" operator="greaterThanOrEqual">
      <formula>12</formula>
    </cfRule>
  </conditionalFormatting>
  <conditionalFormatting sqref="I55">
    <cfRule type="cellIs" dxfId="2" priority="40" stopIfTrue="1" operator="equal">
      <formula>"TOLERÁVEL"</formula>
    </cfRule>
    <cfRule type="cellIs" dxfId="1" priority="41" stopIfTrue="1" operator="equal">
      <formula>"ALARP"</formula>
    </cfRule>
    <cfRule type="cellIs" dxfId="0" priority="42" stopIfTrue="1" operator="equal">
      <formula>"INACEITÁVEL"</formula>
    </cfRule>
  </conditionalFormatting>
  <dataValidations count="1">
    <dataValidation type="whole" allowBlank="1" showInputMessage="1" showErrorMessage="1" errorTitle="Valor inválido" error="Use apenas valores inteiros de 1 a 5 ou deixe em branco." promptTitle="Avaliação de risco" prompt="Informe um número inteiro entre 1 e 5." sqref="F55">
      <formula1>1</formula1>
      <formula2>5</formula2>
    </dataValidation>
  </dataValidations>
  <printOptions horizontalCentered="1"/>
  <pageMargins left="0.2" right="0.2" top="0.35" bottom="0.35" header="0.5" footer="0.5"/>
  <pageSetup scale="70" fitToHeight="0" orientation="landscape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MP</vt:lpstr>
      <vt:lpstr>MP!Area_de_impressao</vt:lpstr>
      <vt:lpstr>MP_GRAVIDADE</vt:lpstr>
      <vt:lpstr>MP_PROBABILIDADE</vt:lpstr>
      <vt:lpstr>MP_SCORE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2026-07-21T21:19:02Z</dcterms:created>
  <dcterms:modified xsi:type="dcterms:W3CDTF">2026-08-07T12:35:13Z</dcterms:modified>
</cp:coreProperties>
</file>