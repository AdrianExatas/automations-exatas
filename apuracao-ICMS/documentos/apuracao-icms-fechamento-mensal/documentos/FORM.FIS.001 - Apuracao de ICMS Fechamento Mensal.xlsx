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1570" windowHeight="7965"/>
  </bookViews>
  <sheets>
    <sheet name="FORM" sheetId="1" r:id="rId1"/>
  </sheets>
  <definedNames>
    <definedName name="_xlnm.Print_Area" localSheetId="0">FORM!$A$1:$H$112</definedName>
    <definedName name="FORM_COEFICIENTES">FORM!$N$2:$N$31</definedName>
    <definedName name="FORM_PARECERES">FORM!$M$2:$M$31</definedName>
    <definedName name="FORM_RESPOSTAS">FORM!$L$2:$L$31</definedName>
  </definedNames>
  <calcPr calcId="162913" forceFullCalc="1"/>
</workbook>
</file>

<file path=xl/calcChain.xml><?xml version="1.0" encoding="utf-8"?>
<calcChain xmlns="http://schemas.openxmlformats.org/spreadsheetml/2006/main">
  <c r="L31" i="1" l="1"/>
  <c r="G108" i="1"/>
  <c r="M31" i="1" s="1"/>
  <c r="L30" i="1"/>
  <c r="G107" i="1"/>
  <c r="M30" i="1" s="1"/>
  <c r="L29" i="1"/>
  <c r="G106" i="1"/>
  <c r="M29" i="1" s="1"/>
  <c r="L28" i="1"/>
  <c r="G99" i="1"/>
  <c r="M28" i="1" s="1"/>
  <c r="L27" i="1"/>
  <c r="G92" i="1"/>
  <c r="M27" i="1" s="1"/>
  <c r="L26" i="1"/>
  <c r="G91" i="1"/>
  <c r="M26" i="1" s="1"/>
  <c r="L25" i="1"/>
  <c r="G84" i="1"/>
  <c r="M25" i="1" s="1"/>
  <c r="L24" i="1"/>
  <c r="G83" i="1"/>
  <c r="M24" i="1" s="1"/>
  <c r="L23" i="1"/>
  <c r="G82" i="1"/>
  <c r="M23" i="1" s="1"/>
  <c r="L22" i="1"/>
  <c r="G75" i="1"/>
  <c r="M22" i="1" s="1"/>
  <c r="L21" i="1"/>
  <c r="G74" i="1"/>
  <c r="M21" i="1" s="1"/>
  <c r="L20" i="1"/>
  <c r="G73" i="1"/>
  <c r="M20" i="1" s="1"/>
  <c r="L19" i="1"/>
  <c r="G66" i="1"/>
  <c r="M19" i="1" s="1"/>
  <c r="L18" i="1"/>
  <c r="G65" i="1"/>
  <c r="M18" i="1" s="1"/>
  <c r="L17" i="1"/>
  <c r="G64" i="1"/>
  <c r="M17" i="1" s="1"/>
  <c r="L16" i="1"/>
  <c r="G63" i="1"/>
  <c r="M16" i="1" s="1"/>
  <c r="L15" i="1"/>
  <c r="G62" i="1"/>
  <c r="M15" i="1" s="1"/>
  <c r="L14" i="1"/>
  <c r="G55" i="1"/>
  <c r="M14" i="1" s="1"/>
  <c r="L13" i="1"/>
  <c r="G54" i="1"/>
  <c r="M13" i="1" s="1"/>
  <c r="L12" i="1"/>
  <c r="G47" i="1"/>
  <c r="M12" i="1" s="1"/>
  <c r="L11" i="1"/>
  <c r="G46" i="1"/>
  <c r="M11" i="1" s="1"/>
  <c r="L10" i="1"/>
  <c r="G39" i="1"/>
  <c r="M10" i="1" s="1"/>
  <c r="L9" i="1"/>
  <c r="G38" i="1"/>
  <c r="M9" i="1" s="1"/>
  <c r="L8" i="1"/>
  <c r="G31" i="1"/>
  <c r="M8" i="1" s="1"/>
  <c r="L7" i="1"/>
  <c r="G30" i="1"/>
  <c r="M7" i="1" s="1"/>
  <c r="L6" i="1"/>
  <c r="G23" i="1"/>
  <c r="M6" i="1" s="1"/>
  <c r="L5" i="1"/>
  <c r="G22" i="1"/>
  <c r="M5" i="1" s="1"/>
  <c r="L4" i="1"/>
  <c r="G21" i="1"/>
  <c r="M4" i="1" s="1"/>
  <c r="L3" i="1"/>
  <c r="G14" i="1"/>
  <c r="M3" i="1" s="1"/>
  <c r="L2" i="1"/>
  <c r="G13" i="1"/>
  <c r="M2" i="1" s="1"/>
  <c r="B9" i="1" l="1"/>
  <c r="H9" i="1"/>
  <c r="H109" i="1"/>
  <c r="F109" i="1"/>
  <c r="N31" i="1"/>
  <c r="N30" i="1"/>
  <c r="N29" i="1"/>
  <c r="H100" i="1"/>
  <c r="F100" i="1"/>
  <c r="N28" i="1"/>
  <c r="H93" i="1"/>
  <c r="F93" i="1"/>
  <c r="N27" i="1"/>
  <c r="N26" i="1"/>
  <c r="H85" i="1"/>
  <c r="F85" i="1"/>
  <c r="N25" i="1"/>
  <c r="N24" i="1"/>
  <c r="N23" i="1"/>
  <c r="H76" i="1"/>
  <c r="F76" i="1"/>
  <c r="N22" i="1"/>
  <c r="N21" i="1"/>
  <c r="N20" i="1"/>
  <c r="H67" i="1"/>
  <c r="F67" i="1"/>
  <c r="N19" i="1"/>
  <c r="N18" i="1"/>
  <c r="N17" i="1"/>
  <c r="N16" i="1"/>
  <c r="N15" i="1"/>
  <c r="F56" i="1"/>
  <c r="H56" i="1"/>
  <c r="N14" i="1"/>
  <c r="N13" i="1"/>
  <c r="F48" i="1"/>
  <c r="H48" i="1"/>
  <c r="N12" i="1"/>
  <c r="N11" i="1"/>
  <c r="H40" i="1"/>
  <c r="F40" i="1"/>
  <c r="N10" i="1"/>
  <c r="N9" i="1"/>
  <c r="H32" i="1"/>
  <c r="F32" i="1"/>
  <c r="N8" i="1"/>
  <c r="N7" i="1"/>
  <c r="H24" i="1"/>
  <c r="F24" i="1"/>
  <c r="N6" i="1"/>
  <c r="N5" i="1"/>
  <c r="N4" i="1"/>
  <c r="H15" i="1"/>
  <c r="F15" i="1"/>
  <c r="N3" i="1"/>
  <c r="N2" i="1"/>
</calcChain>
</file>

<file path=xl/sharedStrings.xml><?xml version="1.0" encoding="utf-8"?>
<sst xmlns="http://schemas.openxmlformats.org/spreadsheetml/2006/main" count="273" uniqueCount="103">
  <si>
    <t>FORMULÁRIO DE VERIFICAÇÃO</t>
  </si>
  <si>
    <t>SETOR</t>
  </si>
  <si>
    <t>CÓDIGO</t>
  </si>
  <si>
    <t>VERSÃO</t>
  </si>
  <si>
    <t>00</t>
  </si>
  <si>
    <t>ID</t>
  </si>
  <si>
    <t>ITEM DE VERIFICAÇÃO</t>
  </si>
  <si>
    <t>RESPOSTA</t>
  </si>
  <si>
    <t>RESULTADO</t>
  </si>
  <si>
    <t>PARECER DO BLOCO</t>
  </si>
  <si>
    <t>EVIDÊNCIA/PRINT — INSERÇÃO MANUAL</t>
  </si>
  <si>
    <t>Fiscal</t>
  </si>
  <si>
    <t>FORM.FIS.001</t>
  </si>
  <si>
    <t>EMISSÃO</t>
  </si>
  <si>
    <t>07/08/2026</t>
  </si>
  <si>
    <t>REVISÃO</t>
  </si>
  <si>
    <t>TÍTULO</t>
  </si>
  <si>
    <t>APURACAO DE ICMS - FECHAMENTO MENSAL</t>
  </si>
  <si>
    <t>Cliente / Empresa</t>
  </si>
  <si>
    <t/>
  </si>
  <si>
    <t>PRAZO</t>
  </si>
  <si>
    <t>CONTEXTO</t>
  </si>
  <si>
    <t>RESUMO DA INSPEÇÃO</t>
  </si>
  <si>
    <t>PARECER GERAL</t>
  </si>
  <si>
    <t>COEFICIENTE</t>
  </si>
  <si>
    <t>ITEM_ID</t>
  </si>
  <si>
    <t>RESPOSTA_CONFORME</t>
  </si>
  <si>
    <t>PARECER</t>
  </si>
  <si>
    <t>1. PARAMETRIZACAO TRIBUTARIA | SETOR: Fiscal</t>
  </si>
  <si>
    <t>C01</t>
  </si>
  <si>
    <t>A matriz tributaria da empresa/estabelecimento foi conferida para a competencia?</t>
  </si>
  <si>
    <t>SIM</t>
  </si>
  <si>
    <t>C02</t>
  </si>
  <si>
    <t>CFOP, CST, ST, DIFAL, FCP, credito e CIAP estao parametrizados sem pendencia bloqueante?</t>
  </si>
  <si>
    <t>Insira ou cole aqui a evidência visual correspondente a este bloco. Nenhuma imagem é anexada automaticamente.</t>
  </si>
  <si>
    <t>2. GATE 1 - INTEGRIDADE DOCUMENTAL | SETOR: Fiscal</t>
  </si>
  <si>
    <t>C03</t>
  </si>
  <si>
    <t>O cruzamento XML SEFAZ x sistema fiscal x documentos do cliente foi executado?</t>
  </si>
  <si>
    <t>C04</t>
  </si>
  <si>
    <t>Existem documentos faltantes sem justificativa aprovada?</t>
  </si>
  <si>
    <t>NÃO</t>
  </si>
  <si>
    <t>C05</t>
  </si>
  <si>
    <t>Notas canceladas, duplicadas e chaves invalidas foram tratadas?</t>
  </si>
  <si>
    <t>3. ENTRADAS E CIAP | SETOR: Fiscal</t>
  </si>
  <si>
    <t>C06</t>
  </si>
  <si>
    <t>Os creditos de entrada foram conferidos por natureza da operacao?</t>
  </si>
  <si>
    <t>C07</t>
  </si>
  <si>
    <t>Quando houver ativo imobilizado com direito a credito, o CIAP foi atualizado e a parcela lancada?</t>
  </si>
  <si>
    <t>4. SAIDAS | SETOR: Fiscal</t>
  </si>
  <si>
    <t>C08</t>
  </si>
  <si>
    <t>Os debitos de saida foram conferidos (CFOP, CST, base, aliquota, beneficio, ST, DIFAL, FCP)?</t>
  </si>
  <si>
    <t>C09</t>
  </si>
  <si>
    <t>O cruzamento faturamento x documentos emitidos x escrituracao x contabilidade fecha ou esta justificado?</t>
  </si>
  <si>
    <t>5. APURACOES ESPECIAIS | SETOR: Fiscal</t>
  </si>
  <si>
    <t>C10</t>
  </si>
  <si>
    <t>Quando houver operacoes de ST, a apuracao por UF foi concluida?</t>
  </si>
  <si>
    <t>C11</t>
  </si>
  <si>
    <t>Quando houver DIFAL/FCP, a apuracao por UF origem/destino foi concluida?</t>
  </si>
  <si>
    <t>6. ICMS PROPRIO E AJUSTES | SETOR: Fiscal</t>
  </si>
  <si>
    <t>C12</t>
  </si>
  <si>
    <t>A conta grafica do ICMS proprio foi consolidada com saldo anterior, creditos e debitos?</t>
  </si>
  <si>
    <t>C13</t>
  </si>
  <si>
    <t>Cada ajuste possui codigo, fundamento legal, valor, documento comprobatório e responsavel?</t>
  </si>
  <si>
    <t>7. CONCILIACAO (13 CRUZAMENTOS) | SETOR: Fiscal</t>
  </si>
  <si>
    <t>C14</t>
  </si>
  <si>
    <t>XML x escrituracao fecha 100% ou esta justificado?</t>
  </si>
  <si>
    <t>C15</t>
  </si>
  <si>
    <t>Totais de entradas e saidas x livros fiscais fecham 100% ou estao justificados?</t>
  </si>
  <si>
    <t>C16</t>
  </si>
  <si>
    <t>Debitos e creditos das notas x apuracao fecham 100% ou estao justificados?</t>
  </si>
  <si>
    <t>C17</t>
  </si>
  <si>
    <t>Ajustes, CIAP, ST, DIFAL, FCP e saldo anterior fecham 100% ou estao justificados?</t>
  </si>
  <si>
    <t>C18</t>
  </si>
  <si>
    <t>Apuracao x EFD e EFD x guia fecham 100% ou estao justificados?</t>
  </si>
  <si>
    <t>8. GATE 2 - REVISAO | SETOR: Fiscal</t>
  </si>
  <si>
    <t>C19</t>
  </si>
  <si>
    <t>A revisao foi feita por pessoa diferente do analista executor?</t>
  </si>
  <si>
    <t>C20</t>
  </si>
  <si>
    <t>Existe divergencia nao tratada na cadeia documental/tributaria/apuracao?</t>
  </si>
  <si>
    <t>C21</t>
  </si>
  <si>
    <t>A transmissao da EFD foi liberada pelo revisor?</t>
  </si>
  <si>
    <t>9. EFD E BLOCO E | SETOR: Fiscal</t>
  </si>
  <si>
    <t>C22</t>
  </si>
  <si>
    <t>A EFD foi validada no PVA sem erros bloqueantes?</t>
  </si>
  <si>
    <t>C23</t>
  </si>
  <si>
    <t>O Bloco E (E100, E110-E116, E200/E210, E300/E310 quando aplicavel) foi conferido?</t>
  </si>
  <si>
    <t>C24</t>
  </si>
  <si>
    <t>O recibo de transmissao foi arquivado?</t>
  </si>
  <si>
    <t>10. GATE 3 - GUIAS | SETOR: Fiscal</t>
  </si>
  <si>
    <t>C25</t>
  </si>
  <si>
    <t>O valor de cada guia e igual ao valor da obrigacao correspondente?</t>
  </si>
  <si>
    <t>C26</t>
  </si>
  <si>
    <t>Competencia, CNPJ/IE, UF, codigo de receita, vencimento e tipo de ICMS foram conferidos?</t>
  </si>
  <si>
    <t>11. PAGAMENTO | SETOR: Fiscal</t>
  </si>
  <si>
    <t>C27</t>
  </si>
  <si>
    <t>O comprovante de pagamento foi recebido e arquivado?</t>
  </si>
  <si>
    <t>12. DOSSIE E FECHAMENTO | SETOR: Fiscal</t>
  </si>
  <si>
    <t>C28</t>
  </si>
  <si>
    <t>O dossie mensal foi criado com as 15 subpastas padrao?</t>
  </si>
  <si>
    <t>C29</t>
  </si>
  <si>
    <t>EFD, recibo, obrigacoes estaduais (quando aplicaveis), guias, comprovantes e evidencias de revisao estao arquivados?</t>
  </si>
  <si>
    <t>C30</t>
  </si>
  <si>
    <t>A competencia foi marcada como FECHADA somente apos todos os itens anteriores?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</si>
</sst>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Arial Narrow"/>
      <family val="2"/>
    </font>
    <font>
      <sz val="10"/>
      <color rgb="FF1F1F1F"/>
      <name val="Arial Narrow"/>
      <family val="2"/>
    </font>
    <font>
      <b/>
      <sz val="10"/>
      <color rgb="FF1F1F1F"/>
      <name val="Arial Narrow"/>
      <family val="2"/>
    </font>
    <font>
      <b/>
      <sz val="10"/>
      <color rgb="FFFFFFFF"/>
      <name val="Arial Narrow"/>
      <family val="2"/>
    </font>
    <font>
      <sz val="11"/>
      <color theme="1"/>
      <name val="Arial Narrow"/>
      <family val="2"/>
    </font>
    <font>
      <i/>
      <sz val="10"/>
      <color rgb="FF7F8C8D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medium">
        <color rgb="FF7F8C8D"/>
      </left>
      <right style="medium">
        <color rgb="FF7F8C8D"/>
      </right>
      <top style="medium">
        <color rgb="FF7F8C8D"/>
      </top>
      <bottom style="medium">
        <color rgb="FF7F8C8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Protection="1"/>
    <xf numFmtId="49" fontId="1" fillId="2" borderId="0" xfId="0" applyNumberFormat="1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  <xf numFmtId="49" fontId="0" fillId="0" borderId="0" xfId="0" applyNumberFormat="1" applyProtection="1"/>
    <xf numFmtId="49" fontId="3" fillId="3" borderId="1" xfId="0" applyNumberFormat="1" applyFont="1" applyFill="1" applyBorder="1" applyAlignment="1" applyProtection="1">
      <alignment horizontal="center" vertical="center" wrapText="1"/>
    </xf>
    <xf numFmtId="49" fontId="3" fillId="4" borderId="1" xfId="0" applyNumberFormat="1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49" fontId="3" fillId="4" borderId="1" xfId="0" applyNumberFormat="1" applyFont="1" applyFill="1" applyBorder="1" applyAlignment="1" applyProtection="1">
      <alignment horizontal="center" vertical="center" wrapText="1"/>
    </xf>
    <xf numFmtId="49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49" fontId="4" fillId="6" borderId="0" xfId="0" applyNumberFormat="1" applyFont="1" applyFill="1" applyAlignment="1" applyProtection="1">
      <alignment horizontal="left" vertical="center" wrapText="1"/>
    </xf>
    <xf numFmtId="0" fontId="4" fillId="6" borderId="0" xfId="0" applyFont="1" applyFill="1" applyAlignment="1" applyProtection="1">
      <alignment horizontal="left" vertical="center" wrapText="1"/>
    </xf>
    <xf numFmtId="49" fontId="4" fillId="6" borderId="0" xfId="0" applyNumberFormat="1" applyFont="1" applyFill="1" applyAlignment="1" applyProtection="1">
      <alignment horizontal="left" vertical="center" wrapText="1"/>
    </xf>
    <xf numFmtId="49" fontId="2" fillId="4" borderId="1" xfId="0" applyNumberFormat="1" applyFont="1" applyFill="1" applyBorder="1" applyAlignment="1" applyProtection="1">
      <alignment horizontal="center" vertical="top" wrapText="1"/>
    </xf>
    <xf numFmtId="49" fontId="3" fillId="7" borderId="1" xfId="0" applyNumberFormat="1" applyFont="1" applyFill="1" applyBorder="1" applyAlignment="1" applyProtection="1">
      <alignment horizontal="center" vertical="center" wrapText="1"/>
    </xf>
    <xf numFmtId="49" fontId="6" fillId="8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hidden="1"/>
    </xf>
    <xf numFmtId="9" fontId="3" fillId="5" borderId="1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Protection="1"/>
    <xf numFmtId="49" fontId="5" fillId="0" borderId="0" xfId="0" applyNumberFormat="1" applyFont="1" applyProtection="1"/>
    <xf numFmtId="49" fontId="5" fillId="5" borderId="0" xfId="0" applyNumberFormat="1" applyFont="1" applyFill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5" fillId="5" borderId="0" xfId="0" applyFont="1" applyFill="1" applyProtection="1">
      <protection hidden="1"/>
    </xf>
    <xf numFmtId="9" fontId="5" fillId="5" borderId="0" xfId="0" applyNumberFormat="1" applyFont="1" applyFill="1" applyProtection="1">
      <protection hidden="1"/>
    </xf>
  </cellXfs>
  <cellStyles count="1">
    <cellStyle name="Normal" xfId="0" builtinId="0"/>
  </cellStyles>
  <dxfs count="135"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ont>
        <color rgb="FF1F1F1F"/>
      </font>
      <fill>
        <patternFill>
          <bgColor rgb="FFF4B084"/>
        </patternFill>
      </fill>
    </dxf>
    <dxf>
      <font>
        <color rgb="FF1F1F1F"/>
      </font>
      <fill>
        <patternFill>
          <bgColor rgb="FFC6E0B4"/>
        </patternFill>
      </fill>
    </dxf>
    <dxf>
      <font>
        <color rgb="FF1F1F1F"/>
      </font>
      <fill>
        <patternFill>
          <bgColor rgb="FFFFF2CC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1127125</xdr:colOff>
      <xdr:row>1</xdr:row>
      <xdr:rowOff>114300</xdr:rowOff>
    </xdr:to>
    <xdr:pic>
      <xdr:nvPicPr>
        <xdr:cNvPr id="3" name="EXATAS_LOGO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1500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2"/>
  <sheetViews>
    <sheetView showGridLines="0" tabSelected="1" workbookViewId="0">
      <selection activeCell="B5" sqref="B5:D5"/>
    </sheetView>
  </sheetViews>
  <sheetFormatPr defaultRowHeight="15" x14ac:dyDescent="0.25"/>
  <cols>
    <col min="1" max="1" width="10.7109375" style="1" customWidth="1"/>
    <col min="2" max="2" width="20.7109375" style="1" customWidth="1"/>
    <col min="3" max="4" width="14.7109375" style="1" customWidth="1"/>
    <col min="5" max="5" width="16.7109375" style="1" customWidth="1"/>
    <col min="6" max="6" width="14.7109375" style="1" customWidth="1"/>
    <col min="7" max="7" width="18.7109375" style="1" customWidth="1"/>
    <col min="8" max="8" width="13.7109375" style="1" customWidth="1"/>
    <col min="9" max="9" width="9.140625" style="1"/>
    <col min="10" max="14" width="0" style="1" hidden="1" customWidth="1"/>
    <col min="15" max="16384" width="9.140625" style="1"/>
  </cols>
  <sheetData>
    <row r="1" spans="1:14" ht="24" customHeight="1" x14ac:dyDescent="0.3">
      <c r="A1" s="19"/>
      <c r="B1" s="19"/>
      <c r="C1" s="2" t="s">
        <v>0</v>
      </c>
      <c r="D1" s="3"/>
      <c r="E1" s="3"/>
      <c r="F1" s="3"/>
      <c r="G1" s="3"/>
      <c r="H1" s="3"/>
      <c r="J1" s="4" t="s">
        <v>25</v>
      </c>
      <c r="K1" s="4" t="s">
        <v>26</v>
      </c>
      <c r="L1" s="4" t="s">
        <v>7</v>
      </c>
      <c r="M1" s="4" t="s">
        <v>27</v>
      </c>
      <c r="N1" s="4" t="s">
        <v>24</v>
      </c>
    </row>
    <row r="2" spans="1:14" ht="24" customHeight="1" x14ac:dyDescent="0.3">
      <c r="A2" s="19"/>
      <c r="B2" s="19"/>
      <c r="C2" s="3"/>
      <c r="D2" s="3"/>
      <c r="E2" s="3"/>
      <c r="F2" s="3"/>
      <c r="G2" s="3"/>
      <c r="H2" s="3"/>
      <c r="J2" s="4" t="s">
        <v>29</v>
      </c>
      <c r="K2" s="4" t="s">
        <v>31</v>
      </c>
      <c r="L2" s="4" t="str">
        <f>F13</f>
        <v/>
      </c>
      <c r="M2" s="1" t="str">
        <f>G13</f>
        <v>PENDENTE</v>
      </c>
      <c r="N2" s="1" t="str">
        <f>IF(G13="CONFORME",1,IF(G13="NÃO CONFORME",0,""))</f>
        <v/>
      </c>
    </row>
    <row r="3" spans="1:14" x14ac:dyDescent="0.25">
      <c r="A3" s="5" t="s">
        <v>1</v>
      </c>
      <c r="B3" s="6" t="s">
        <v>11</v>
      </c>
      <c r="C3" s="7"/>
      <c r="D3" s="5" t="s">
        <v>2</v>
      </c>
      <c r="E3" s="6" t="s">
        <v>12</v>
      </c>
      <c r="F3" s="7"/>
      <c r="G3" s="5" t="s">
        <v>3</v>
      </c>
      <c r="H3" s="8" t="s">
        <v>4</v>
      </c>
      <c r="J3" s="4" t="s">
        <v>32</v>
      </c>
      <c r="K3" s="4" t="s">
        <v>31</v>
      </c>
      <c r="L3" s="4" t="str">
        <f>F14</f>
        <v/>
      </c>
      <c r="M3" s="1" t="str">
        <f>G14</f>
        <v>PENDENTE</v>
      </c>
      <c r="N3" s="1" t="str">
        <f>IF(G14="CONFORME",1,IF(G14="NÃO CONFORME",0,""))</f>
        <v/>
      </c>
    </row>
    <row r="4" spans="1:14" ht="51" x14ac:dyDescent="0.25">
      <c r="A4" s="5" t="s">
        <v>13</v>
      </c>
      <c r="B4" s="6" t="s">
        <v>14</v>
      </c>
      <c r="C4" s="7"/>
      <c r="D4" s="5" t="s">
        <v>15</v>
      </c>
      <c r="E4" s="6" t="s">
        <v>14</v>
      </c>
      <c r="F4" s="7"/>
      <c r="G4" s="5" t="s">
        <v>16</v>
      </c>
      <c r="H4" s="8" t="s">
        <v>17</v>
      </c>
      <c r="J4" s="4" t="s">
        <v>36</v>
      </c>
      <c r="K4" s="4" t="s">
        <v>31</v>
      </c>
      <c r="L4" s="4" t="str">
        <f>F21</f>
        <v/>
      </c>
      <c r="M4" s="1" t="str">
        <f>G21</f>
        <v>PENDENTE</v>
      </c>
      <c r="N4" s="1" t="str">
        <f>IF(G21="CONFORME",1,IF(G21="NÃO CONFORME",0,""))</f>
        <v/>
      </c>
    </row>
    <row r="5" spans="1:14" ht="15" customHeight="1" x14ac:dyDescent="0.25">
      <c r="A5" s="5" t="s">
        <v>18</v>
      </c>
      <c r="B5" s="9" t="s">
        <v>19</v>
      </c>
      <c r="C5" s="10"/>
      <c r="D5" s="10"/>
      <c r="E5" s="5" t="s">
        <v>20</v>
      </c>
      <c r="F5" s="9" t="s">
        <v>19</v>
      </c>
      <c r="G5" s="10"/>
      <c r="H5" s="10"/>
      <c r="J5" s="4" t="s">
        <v>38</v>
      </c>
      <c r="K5" s="4" t="s">
        <v>40</v>
      </c>
      <c r="L5" s="4" t="str">
        <f>F22</f>
        <v/>
      </c>
      <c r="M5" s="1" t="str">
        <f>G22</f>
        <v>PENDENTE</v>
      </c>
      <c r="N5" s="1" t="str">
        <f>IF(G22="CONFORME",1,IF(G22="NÃO CONFORME",0,""))</f>
        <v/>
      </c>
    </row>
    <row r="6" spans="1:14" ht="32.1" customHeight="1" x14ac:dyDescent="0.25">
      <c r="A6" s="5" t="s">
        <v>21</v>
      </c>
      <c r="B6" s="9" t="s">
        <v>19</v>
      </c>
      <c r="C6" s="10"/>
      <c r="D6" s="10"/>
      <c r="E6" s="10"/>
      <c r="F6" s="10"/>
      <c r="G6" s="10"/>
      <c r="H6" s="10"/>
      <c r="J6" s="4" t="s">
        <v>41</v>
      </c>
      <c r="K6" s="4" t="s">
        <v>31</v>
      </c>
      <c r="L6" s="4" t="str">
        <f>F23</f>
        <v/>
      </c>
      <c r="M6" s="1" t="str">
        <f>G23</f>
        <v>PENDENTE</v>
      </c>
      <c r="N6" s="1" t="str">
        <f>IF(G23="CONFORME",1,IF(G23="NÃO CONFORME",0,""))</f>
        <v/>
      </c>
    </row>
    <row r="7" spans="1:14" ht="36" customHeight="1" x14ac:dyDescent="0.3">
      <c r="A7" s="19"/>
      <c r="B7" s="19"/>
      <c r="C7" s="19"/>
      <c r="D7" s="19"/>
      <c r="E7" s="19"/>
      <c r="F7" s="19"/>
      <c r="G7" s="19"/>
      <c r="H7" s="19"/>
      <c r="J7" s="4" t="s">
        <v>44</v>
      </c>
      <c r="K7" s="4" t="s">
        <v>31</v>
      </c>
      <c r="L7" s="4" t="str">
        <f>F30</f>
        <v/>
      </c>
      <c r="M7" s="1" t="str">
        <f>G30</f>
        <v>PENDENTE</v>
      </c>
      <c r="N7" s="1" t="str">
        <f>IF(G30="CONFORME",1,IF(G30="NÃO CONFORME",0,""))</f>
        <v/>
      </c>
    </row>
    <row r="8" spans="1:14" ht="15" customHeight="1" x14ac:dyDescent="0.25">
      <c r="A8" s="11" t="s">
        <v>22</v>
      </c>
      <c r="B8" s="12"/>
      <c r="C8" s="12"/>
      <c r="D8" s="12"/>
      <c r="E8" s="12"/>
      <c r="F8" s="12"/>
      <c r="G8" s="12"/>
      <c r="H8" s="12"/>
      <c r="J8" s="4" t="s">
        <v>46</v>
      </c>
      <c r="K8" s="4" t="s">
        <v>31</v>
      </c>
      <c r="L8" s="4" t="str">
        <f>F31</f>
        <v/>
      </c>
      <c r="M8" s="1" t="str">
        <f>G31</f>
        <v>PENDENTE</v>
      </c>
      <c r="N8" s="1" t="str">
        <f>IF(G31="CONFORME",1,IF(G31="NÃO CONFORME",0,""))</f>
        <v/>
      </c>
    </row>
    <row r="9" spans="1:14" ht="15" customHeight="1" x14ac:dyDescent="0.25">
      <c r="A9" s="5" t="s">
        <v>23</v>
      </c>
      <c r="B9" s="17" t="str">
        <f>IF(COUNTIF(FORM_PARECERES,"PENDENTE")&gt;0,"PENDENTE",IF(COUNTIF(FORM_PARECERES,"NÃO CONFORME")&gt;0,"NÃO CONFORME","CONFORME"))</f>
        <v>PENDENTE</v>
      </c>
      <c r="C9" s="17"/>
      <c r="D9" s="17"/>
      <c r="E9" s="17"/>
      <c r="F9" s="17"/>
      <c r="G9" s="5" t="s">
        <v>24</v>
      </c>
      <c r="H9" s="18" t="str">
        <f>IF(COUNTIF(FORM_PARECERES,"PENDENTE")&gt;0,"",AVERAGE(FORM_COEFICIENTES))</f>
        <v/>
      </c>
      <c r="J9" s="4" t="s">
        <v>49</v>
      </c>
      <c r="K9" s="4" t="s">
        <v>31</v>
      </c>
      <c r="L9" s="4" t="str">
        <f>F38</f>
        <v/>
      </c>
      <c r="M9" s="1" t="str">
        <f>G38</f>
        <v>PENDENTE</v>
      </c>
      <c r="N9" s="1" t="str">
        <f>IF(G38="CONFORME",1,IF(G38="NÃO CONFORME",0,""))</f>
        <v/>
      </c>
    </row>
    <row r="10" spans="1:14" ht="114.95" customHeight="1" x14ac:dyDescent="0.3">
      <c r="A10" s="19"/>
      <c r="B10" s="19"/>
      <c r="C10" s="19"/>
      <c r="D10" s="19"/>
      <c r="E10" s="19"/>
      <c r="F10" s="19"/>
      <c r="G10" s="19"/>
      <c r="H10" s="19"/>
      <c r="J10" s="4" t="s">
        <v>51</v>
      </c>
      <c r="K10" s="4" t="s">
        <v>31</v>
      </c>
      <c r="L10" s="4" t="str">
        <f>F39</f>
        <v/>
      </c>
      <c r="M10" s="1" t="str">
        <f>G39</f>
        <v>PENDENTE</v>
      </c>
      <c r="N10" s="1" t="str">
        <f>IF(G39="CONFORME",1,IF(G39="NÃO CONFORME",0,""))</f>
        <v/>
      </c>
    </row>
    <row r="11" spans="1:14" ht="23.1" customHeight="1" x14ac:dyDescent="0.3">
      <c r="A11" s="13" t="s">
        <v>28</v>
      </c>
      <c r="B11" s="19"/>
      <c r="C11" s="19"/>
      <c r="D11" s="19"/>
      <c r="E11" s="19"/>
      <c r="F11" s="19"/>
      <c r="G11" s="19"/>
      <c r="H11" s="19"/>
      <c r="J11" s="4" t="s">
        <v>54</v>
      </c>
      <c r="K11" s="4" t="s">
        <v>31</v>
      </c>
      <c r="L11" s="4" t="str">
        <f>F46</f>
        <v/>
      </c>
      <c r="M11" s="1" t="str">
        <f>G46</f>
        <v>PENDENTE</v>
      </c>
      <c r="N11" s="1" t="str">
        <f>IF(G46="CONFORME",1,IF(G46="NÃO CONFORME",0,""))</f>
        <v/>
      </c>
    </row>
    <row r="12" spans="1:14" ht="16.5" x14ac:dyDescent="0.3">
      <c r="A12" s="5" t="s">
        <v>5</v>
      </c>
      <c r="B12" s="20" t="s">
        <v>6</v>
      </c>
      <c r="C12" s="19"/>
      <c r="D12" s="19"/>
      <c r="E12" s="19"/>
      <c r="F12" s="20" t="s">
        <v>7</v>
      </c>
      <c r="G12" s="20" t="s">
        <v>8</v>
      </c>
      <c r="H12" s="19"/>
      <c r="J12" s="4" t="s">
        <v>56</v>
      </c>
      <c r="K12" s="4" t="s">
        <v>31</v>
      </c>
      <c r="L12" s="4" t="str">
        <f>F47</f>
        <v/>
      </c>
      <c r="M12" s="1" t="str">
        <f>G47</f>
        <v>PENDENTE</v>
      </c>
      <c r="N12" s="1" t="str">
        <f>IF(G47="CONFORME",1,IF(G47="NÃO CONFORME",0,""))</f>
        <v/>
      </c>
    </row>
    <row r="13" spans="1:14" ht="36" customHeight="1" x14ac:dyDescent="0.3">
      <c r="A13" s="14" t="s">
        <v>29</v>
      </c>
      <c r="B13" s="20" t="s">
        <v>30</v>
      </c>
      <c r="C13" s="19"/>
      <c r="D13" s="19"/>
      <c r="E13" s="19"/>
      <c r="F13" s="21" t="s">
        <v>19</v>
      </c>
      <c r="G13" s="22" t="str">
        <f>IF(F13="","PENDENTE",IF(F13="SIM","CONFORME","NÃO CONFORME"))</f>
        <v>PENDENTE</v>
      </c>
      <c r="H13" s="19"/>
      <c r="J13" s="4" t="s">
        <v>59</v>
      </c>
      <c r="K13" s="4" t="s">
        <v>31</v>
      </c>
      <c r="L13" s="4" t="str">
        <f>F54</f>
        <v/>
      </c>
      <c r="M13" s="1" t="str">
        <f>G54</f>
        <v>PENDENTE</v>
      </c>
      <c r="N13" s="1" t="str">
        <f>IF(G54="CONFORME",1,IF(G54="NÃO CONFORME",0,""))</f>
        <v/>
      </c>
    </row>
    <row r="14" spans="1:14" ht="36" customHeight="1" x14ac:dyDescent="0.3">
      <c r="A14" s="14" t="s">
        <v>32</v>
      </c>
      <c r="B14" s="20" t="s">
        <v>33</v>
      </c>
      <c r="C14" s="19"/>
      <c r="D14" s="19"/>
      <c r="E14" s="19"/>
      <c r="F14" s="21" t="s">
        <v>19</v>
      </c>
      <c r="G14" s="22" t="str">
        <f>IF(F14="","PENDENTE",IF(F14="SIM","CONFORME","NÃO CONFORME"))</f>
        <v>PENDENTE</v>
      </c>
      <c r="H14" s="19"/>
      <c r="J14" s="4" t="s">
        <v>61</v>
      </c>
      <c r="K14" s="4" t="s">
        <v>31</v>
      </c>
      <c r="L14" s="4" t="str">
        <f>F55</f>
        <v/>
      </c>
      <c r="M14" s="1" t="str">
        <f>G55</f>
        <v>PENDENTE</v>
      </c>
      <c r="N14" s="1" t="str">
        <f>IF(G55="CONFORME",1,IF(G55="NÃO CONFORME",0,""))</f>
        <v/>
      </c>
    </row>
    <row r="15" spans="1:14" ht="25.5" x14ac:dyDescent="0.3">
      <c r="A15" s="5" t="s">
        <v>9</v>
      </c>
      <c r="B15" s="19"/>
      <c r="C15" s="19"/>
      <c r="D15" s="19"/>
      <c r="E15" s="19"/>
      <c r="F15" s="23" t="str">
        <f>IF(COUNTIF(G13:G14,"PENDENTE")&gt;0,"PENDENTE",IF(COUNTIF(G13:G14,"NÃO CONFORME")&gt;0,"NÃO CONFORME","CONFORME"))</f>
        <v>PENDENTE</v>
      </c>
      <c r="G15" s="19"/>
      <c r="H15" s="24" t="str">
        <f>IF(COUNTIF(G13:G14,"PENDENTE")&gt;0,"",COUNTIF(G13:G14,"CONFORME")/ROWS(G13:G14))</f>
        <v/>
      </c>
      <c r="J15" s="4" t="s">
        <v>64</v>
      </c>
      <c r="K15" s="4" t="s">
        <v>31</v>
      </c>
      <c r="L15" s="4" t="str">
        <f>F62</f>
        <v/>
      </c>
      <c r="M15" s="1" t="str">
        <f>G62</f>
        <v>PENDENTE</v>
      </c>
      <c r="N15" s="1" t="str">
        <f>IF(G62="CONFORME",1,IF(G62="NÃO CONFORME",0,""))</f>
        <v/>
      </c>
    </row>
    <row r="16" spans="1:14" ht="51.75" thickBot="1" x14ac:dyDescent="0.35">
      <c r="A16" s="15" t="s">
        <v>10</v>
      </c>
      <c r="B16" s="19"/>
      <c r="C16" s="19"/>
      <c r="D16" s="19"/>
      <c r="E16" s="19"/>
      <c r="F16" s="19"/>
      <c r="G16" s="19"/>
      <c r="H16" s="19"/>
      <c r="J16" s="4" t="s">
        <v>66</v>
      </c>
      <c r="K16" s="4" t="s">
        <v>31</v>
      </c>
      <c r="L16" s="4" t="str">
        <f>F63</f>
        <v/>
      </c>
      <c r="M16" s="1" t="str">
        <f>G63</f>
        <v>PENDENTE</v>
      </c>
      <c r="N16" s="1" t="str">
        <f>IF(G63="CONFORME",1,IF(G63="NÃO CONFORME",0,""))</f>
        <v/>
      </c>
    </row>
    <row r="17" spans="1:14" ht="114.95" customHeight="1" thickBot="1" x14ac:dyDescent="0.35">
      <c r="A17" s="16" t="s">
        <v>34</v>
      </c>
      <c r="B17" s="19"/>
      <c r="C17" s="19"/>
      <c r="D17" s="19"/>
      <c r="E17" s="19"/>
      <c r="F17" s="19"/>
      <c r="G17" s="19"/>
      <c r="H17" s="19"/>
      <c r="J17" s="4" t="s">
        <v>68</v>
      </c>
      <c r="K17" s="4" t="s">
        <v>31</v>
      </c>
      <c r="L17" s="4" t="str">
        <f>F64</f>
        <v/>
      </c>
      <c r="M17" s="1" t="str">
        <f>G64</f>
        <v>PENDENTE</v>
      </c>
      <c r="N17" s="1" t="str">
        <f>IF(G64="CONFORME",1,IF(G64="NÃO CONFORME",0,""))</f>
        <v/>
      </c>
    </row>
    <row r="18" spans="1:14" ht="16.5" x14ac:dyDescent="0.3">
      <c r="A18" s="19"/>
      <c r="B18" s="19"/>
      <c r="C18" s="19"/>
      <c r="D18" s="19"/>
      <c r="E18" s="19"/>
      <c r="F18" s="19"/>
      <c r="G18" s="19"/>
      <c r="H18" s="19"/>
      <c r="J18" s="4" t="s">
        <v>70</v>
      </c>
      <c r="K18" s="4" t="s">
        <v>31</v>
      </c>
      <c r="L18" s="4" t="str">
        <f>F65</f>
        <v/>
      </c>
      <c r="M18" s="1" t="str">
        <f>G65</f>
        <v>PENDENTE</v>
      </c>
      <c r="N18" s="1" t="str">
        <f>IF(G65="CONFORME",1,IF(G65="NÃO CONFORME",0,""))</f>
        <v/>
      </c>
    </row>
    <row r="19" spans="1:14" ht="23.1" customHeight="1" x14ac:dyDescent="0.3">
      <c r="A19" s="13" t="s">
        <v>35</v>
      </c>
      <c r="B19" s="19"/>
      <c r="C19" s="19"/>
      <c r="D19" s="19"/>
      <c r="E19" s="19"/>
      <c r="F19" s="19"/>
      <c r="G19" s="19"/>
      <c r="H19" s="19"/>
      <c r="J19" s="4" t="s">
        <v>72</v>
      </c>
      <c r="K19" s="4" t="s">
        <v>31</v>
      </c>
      <c r="L19" s="4" t="str">
        <f>F66</f>
        <v/>
      </c>
      <c r="M19" s="1" t="str">
        <f>G66</f>
        <v>PENDENTE</v>
      </c>
      <c r="N19" s="1" t="str">
        <f>IF(G66="CONFORME",1,IF(G66="NÃO CONFORME",0,""))</f>
        <v/>
      </c>
    </row>
    <row r="20" spans="1:14" ht="16.5" x14ac:dyDescent="0.3">
      <c r="A20" s="5" t="s">
        <v>5</v>
      </c>
      <c r="B20" s="20" t="s">
        <v>6</v>
      </c>
      <c r="C20" s="19"/>
      <c r="D20" s="19"/>
      <c r="E20" s="19"/>
      <c r="F20" s="20" t="s">
        <v>7</v>
      </c>
      <c r="G20" s="20" t="s">
        <v>8</v>
      </c>
      <c r="H20" s="19"/>
      <c r="J20" s="4" t="s">
        <v>75</v>
      </c>
      <c r="K20" s="4" t="s">
        <v>31</v>
      </c>
      <c r="L20" s="4" t="str">
        <f>F73</f>
        <v/>
      </c>
      <c r="M20" s="1" t="str">
        <f>G73</f>
        <v>PENDENTE</v>
      </c>
      <c r="N20" s="1" t="str">
        <f>IF(G73="CONFORME",1,IF(G73="NÃO CONFORME",0,""))</f>
        <v/>
      </c>
    </row>
    <row r="21" spans="1:14" ht="36" customHeight="1" x14ac:dyDescent="0.3">
      <c r="A21" s="14" t="s">
        <v>36</v>
      </c>
      <c r="B21" s="20" t="s">
        <v>37</v>
      </c>
      <c r="C21" s="19"/>
      <c r="D21" s="19"/>
      <c r="E21" s="19"/>
      <c r="F21" s="21" t="s">
        <v>19</v>
      </c>
      <c r="G21" s="22" t="str">
        <f>IF(F21="","PENDENTE",IF(F21="SIM","CONFORME","NÃO CONFORME"))</f>
        <v>PENDENTE</v>
      </c>
      <c r="H21" s="19"/>
      <c r="J21" s="4" t="s">
        <v>77</v>
      </c>
      <c r="K21" s="4" t="s">
        <v>40</v>
      </c>
      <c r="L21" s="4" t="str">
        <f>F74</f>
        <v/>
      </c>
      <c r="M21" s="1" t="str">
        <f>G74</f>
        <v>PENDENTE</v>
      </c>
      <c r="N21" s="1" t="str">
        <f>IF(G74="CONFORME",1,IF(G74="NÃO CONFORME",0,""))</f>
        <v/>
      </c>
    </row>
    <row r="22" spans="1:14" ht="36" customHeight="1" x14ac:dyDescent="0.3">
      <c r="A22" s="14" t="s">
        <v>38</v>
      </c>
      <c r="B22" s="20" t="s">
        <v>39</v>
      </c>
      <c r="C22" s="19"/>
      <c r="D22" s="19"/>
      <c r="E22" s="19"/>
      <c r="F22" s="21" t="s">
        <v>19</v>
      </c>
      <c r="G22" s="22" t="str">
        <f>IF(F22="","PENDENTE",IF(F22="NÃO","CONFORME","NÃO CONFORME"))</f>
        <v>PENDENTE</v>
      </c>
      <c r="H22" s="19"/>
      <c r="J22" s="4" t="s">
        <v>79</v>
      </c>
      <c r="K22" s="4" t="s">
        <v>31</v>
      </c>
      <c r="L22" s="4" t="str">
        <f>F75</f>
        <v/>
      </c>
      <c r="M22" s="1" t="str">
        <f>G75</f>
        <v>PENDENTE</v>
      </c>
      <c r="N22" s="1" t="str">
        <f>IF(G75="CONFORME",1,IF(G75="NÃO CONFORME",0,""))</f>
        <v/>
      </c>
    </row>
    <row r="23" spans="1:14" ht="36" customHeight="1" x14ac:dyDescent="0.3">
      <c r="A23" s="14" t="s">
        <v>41</v>
      </c>
      <c r="B23" s="20" t="s">
        <v>42</v>
      </c>
      <c r="C23" s="19"/>
      <c r="D23" s="19"/>
      <c r="E23" s="19"/>
      <c r="F23" s="21" t="s">
        <v>19</v>
      </c>
      <c r="G23" s="22" t="str">
        <f>IF(F23="","PENDENTE",IF(F23="SIM","CONFORME","NÃO CONFORME"))</f>
        <v>PENDENTE</v>
      </c>
      <c r="H23" s="19"/>
      <c r="J23" s="4" t="s">
        <v>82</v>
      </c>
      <c r="K23" s="4" t="s">
        <v>31</v>
      </c>
      <c r="L23" s="4" t="str">
        <f>F82</f>
        <v/>
      </c>
      <c r="M23" s="1" t="str">
        <f>G82</f>
        <v>PENDENTE</v>
      </c>
      <c r="N23" s="1" t="str">
        <f>IF(G82="CONFORME",1,IF(G82="NÃO CONFORME",0,""))</f>
        <v/>
      </c>
    </row>
    <row r="24" spans="1:14" ht="25.5" x14ac:dyDescent="0.3">
      <c r="A24" s="5" t="s">
        <v>9</v>
      </c>
      <c r="B24" s="19"/>
      <c r="C24" s="19"/>
      <c r="D24" s="19"/>
      <c r="E24" s="19"/>
      <c r="F24" s="23" t="str">
        <f>IF(COUNTIF(G21:G23,"PENDENTE")&gt;0,"PENDENTE",IF(COUNTIF(G21:G23,"NÃO CONFORME")&gt;0,"NÃO CONFORME","CONFORME"))</f>
        <v>PENDENTE</v>
      </c>
      <c r="G24" s="19"/>
      <c r="H24" s="24" t="str">
        <f>IF(COUNTIF(G21:G23,"PENDENTE")&gt;0,"",COUNTIF(G21:G23,"CONFORME")/ROWS(G21:G23))</f>
        <v/>
      </c>
      <c r="J24" s="4" t="s">
        <v>84</v>
      </c>
      <c r="K24" s="4" t="s">
        <v>31</v>
      </c>
      <c r="L24" s="4" t="str">
        <f>F83</f>
        <v/>
      </c>
      <c r="M24" s="1" t="str">
        <f>G83</f>
        <v>PENDENTE</v>
      </c>
      <c r="N24" s="1" t="str">
        <f>IF(G83="CONFORME",1,IF(G83="NÃO CONFORME",0,""))</f>
        <v/>
      </c>
    </row>
    <row r="25" spans="1:14" ht="51.75" thickBot="1" x14ac:dyDescent="0.35">
      <c r="A25" s="15" t="s">
        <v>10</v>
      </c>
      <c r="B25" s="19"/>
      <c r="C25" s="19"/>
      <c r="D25" s="19"/>
      <c r="E25" s="19"/>
      <c r="F25" s="19"/>
      <c r="G25" s="19"/>
      <c r="H25" s="19"/>
      <c r="J25" s="4" t="s">
        <v>86</v>
      </c>
      <c r="K25" s="4" t="s">
        <v>31</v>
      </c>
      <c r="L25" s="4" t="str">
        <f>F84</f>
        <v/>
      </c>
      <c r="M25" s="1" t="str">
        <f>G84</f>
        <v>PENDENTE</v>
      </c>
      <c r="N25" s="1" t="str">
        <f>IF(G84="CONFORME",1,IF(G84="NÃO CONFORME",0,""))</f>
        <v/>
      </c>
    </row>
    <row r="26" spans="1:14" ht="114.95" customHeight="1" thickBot="1" x14ac:dyDescent="0.35">
      <c r="A26" s="16" t="s">
        <v>34</v>
      </c>
      <c r="B26" s="19"/>
      <c r="C26" s="19"/>
      <c r="D26" s="19"/>
      <c r="E26" s="19"/>
      <c r="F26" s="19"/>
      <c r="G26" s="19"/>
      <c r="H26" s="19"/>
      <c r="J26" s="4" t="s">
        <v>89</v>
      </c>
      <c r="K26" s="4" t="s">
        <v>31</v>
      </c>
      <c r="L26" s="4" t="str">
        <f>F91</f>
        <v/>
      </c>
      <c r="M26" s="1" t="str">
        <f>G91</f>
        <v>PENDENTE</v>
      </c>
      <c r="N26" s="1" t="str">
        <f>IF(G91="CONFORME",1,IF(G91="NÃO CONFORME",0,""))</f>
        <v/>
      </c>
    </row>
    <row r="27" spans="1:14" ht="16.5" x14ac:dyDescent="0.3">
      <c r="A27" s="19"/>
      <c r="B27" s="19"/>
      <c r="C27" s="19"/>
      <c r="D27" s="19"/>
      <c r="E27" s="19"/>
      <c r="F27" s="19"/>
      <c r="G27" s="19"/>
      <c r="H27" s="19"/>
      <c r="J27" s="4" t="s">
        <v>91</v>
      </c>
      <c r="K27" s="4" t="s">
        <v>31</v>
      </c>
      <c r="L27" s="4" t="str">
        <f>F92</f>
        <v/>
      </c>
      <c r="M27" s="1" t="str">
        <f>G92</f>
        <v>PENDENTE</v>
      </c>
      <c r="N27" s="1" t="str">
        <f>IF(G92="CONFORME",1,IF(G92="NÃO CONFORME",0,""))</f>
        <v/>
      </c>
    </row>
    <row r="28" spans="1:14" ht="23.1" customHeight="1" x14ac:dyDescent="0.3">
      <c r="A28" s="13" t="s">
        <v>43</v>
      </c>
      <c r="B28" s="19"/>
      <c r="C28" s="19"/>
      <c r="D28" s="19"/>
      <c r="E28" s="19"/>
      <c r="F28" s="19"/>
      <c r="G28" s="19"/>
      <c r="H28" s="19"/>
      <c r="J28" s="4" t="s">
        <v>94</v>
      </c>
      <c r="K28" s="4" t="s">
        <v>31</v>
      </c>
      <c r="L28" s="4" t="str">
        <f>F99</f>
        <v/>
      </c>
      <c r="M28" s="1" t="str">
        <f>G99</f>
        <v>PENDENTE</v>
      </c>
      <c r="N28" s="1" t="str">
        <f>IF(G99="CONFORME",1,IF(G99="NÃO CONFORME",0,""))</f>
        <v/>
      </c>
    </row>
    <row r="29" spans="1:14" ht="16.5" x14ac:dyDescent="0.3">
      <c r="A29" s="5" t="s">
        <v>5</v>
      </c>
      <c r="B29" s="20" t="s">
        <v>6</v>
      </c>
      <c r="C29" s="19"/>
      <c r="D29" s="19"/>
      <c r="E29" s="19"/>
      <c r="F29" s="20" t="s">
        <v>7</v>
      </c>
      <c r="G29" s="20" t="s">
        <v>8</v>
      </c>
      <c r="H29" s="19"/>
      <c r="J29" s="4" t="s">
        <v>97</v>
      </c>
      <c r="K29" s="4" t="s">
        <v>31</v>
      </c>
      <c r="L29" s="4" t="str">
        <f>F106</f>
        <v/>
      </c>
      <c r="M29" s="1" t="str">
        <f>G106</f>
        <v>PENDENTE</v>
      </c>
      <c r="N29" s="1" t="str">
        <f>IF(G106="CONFORME",1,IF(G106="NÃO CONFORME",0,""))</f>
        <v/>
      </c>
    </row>
    <row r="30" spans="1:14" ht="36" customHeight="1" x14ac:dyDescent="0.3">
      <c r="A30" s="14" t="s">
        <v>44</v>
      </c>
      <c r="B30" s="20" t="s">
        <v>45</v>
      </c>
      <c r="C30" s="19"/>
      <c r="D30" s="19"/>
      <c r="E30" s="19"/>
      <c r="F30" s="21" t="s">
        <v>19</v>
      </c>
      <c r="G30" s="22" t="str">
        <f>IF(F30="","PENDENTE",IF(F30="SIM","CONFORME","NÃO CONFORME"))</f>
        <v>PENDENTE</v>
      </c>
      <c r="H30" s="19"/>
      <c r="J30" s="4" t="s">
        <v>99</v>
      </c>
      <c r="K30" s="4" t="s">
        <v>31</v>
      </c>
      <c r="L30" s="4" t="str">
        <f>F107</f>
        <v/>
      </c>
      <c r="M30" s="1" t="str">
        <f>G107</f>
        <v>PENDENTE</v>
      </c>
      <c r="N30" s="1" t="str">
        <f>IF(G107="CONFORME",1,IF(G107="NÃO CONFORME",0,""))</f>
        <v/>
      </c>
    </row>
    <row r="31" spans="1:14" ht="36" customHeight="1" x14ac:dyDescent="0.3">
      <c r="A31" s="14" t="s">
        <v>46</v>
      </c>
      <c r="B31" s="20" t="s">
        <v>47</v>
      </c>
      <c r="C31" s="19"/>
      <c r="D31" s="19"/>
      <c r="E31" s="19"/>
      <c r="F31" s="21" t="s">
        <v>19</v>
      </c>
      <c r="G31" s="22" t="str">
        <f>IF(F31="","PENDENTE",IF(F31="SIM","CONFORME","NÃO CONFORME"))</f>
        <v>PENDENTE</v>
      </c>
      <c r="H31" s="19"/>
      <c r="J31" s="4" t="s">
        <v>101</v>
      </c>
      <c r="K31" s="4" t="s">
        <v>31</v>
      </c>
      <c r="L31" s="4" t="str">
        <f>F108</f>
        <v/>
      </c>
      <c r="M31" s="1" t="str">
        <f>G108</f>
        <v>PENDENTE</v>
      </c>
      <c r="N31" s="1" t="str">
        <f>IF(G108="CONFORME",1,IF(G108="NÃO CONFORME",0,""))</f>
        <v/>
      </c>
    </row>
    <row r="32" spans="1:14" ht="25.5" x14ac:dyDescent="0.3">
      <c r="A32" s="5" t="s">
        <v>9</v>
      </c>
      <c r="B32" s="19"/>
      <c r="C32" s="19"/>
      <c r="D32" s="19"/>
      <c r="E32" s="19"/>
      <c r="F32" s="23" t="str">
        <f>IF(COUNTIF(G30:G31,"PENDENTE")&gt;0,"PENDENTE",IF(COUNTIF(G30:G31,"NÃO CONFORME")&gt;0,"NÃO CONFORME","CONFORME"))</f>
        <v>PENDENTE</v>
      </c>
      <c r="G32" s="19"/>
      <c r="H32" s="24" t="str">
        <f>IF(COUNTIF(G30:G31,"PENDENTE")&gt;0,"",COUNTIF(G30:G31,"CONFORME")/ROWS(G30:G31))</f>
        <v/>
      </c>
    </row>
    <row r="33" spans="1:8" ht="51.75" thickBot="1" x14ac:dyDescent="0.35">
      <c r="A33" s="15" t="s">
        <v>10</v>
      </c>
      <c r="B33" s="19"/>
      <c r="C33" s="19"/>
      <c r="D33" s="19"/>
      <c r="E33" s="19"/>
      <c r="F33" s="19"/>
      <c r="G33" s="19"/>
      <c r="H33" s="19"/>
    </row>
    <row r="34" spans="1:8" ht="114.95" customHeight="1" thickBot="1" x14ac:dyDescent="0.35">
      <c r="A34" s="16" t="s">
        <v>34</v>
      </c>
      <c r="B34" s="19"/>
      <c r="C34" s="19"/>
      <c r="D34" s="19"/>
      <c r="E34" s="19"/>
      <c r="F34" s="19"/>
      <c r="G34" s="19"/>
      <c r="H34" s="19"/>
    </row>
    <row r="35" spans="1:8" ht="16.5" x14ac:dyDescent="0.3">
      <c r="A35" s="19"/>
      <c r="B35" s="19"/>
      <c r="C35" s="19"/>
      <c r="D35" s="19"/>
      <c r="E35" s="19"/>
      <c r="F35" s="19"/>
      <c r="G35" s="19"/>
      <c r="H35" s="19"/>
    </row>
    <row r="36" spans="1:8" ht="23.1" customHeight="1" x14ac:dyDescent="0.3">
      <c r="A36" s="13" t="s">
        <v>48</v>
      </c>
      <c r="B36" s="19"/>
      <c r="C36" s="19"/>
      <c r="D36" s="19"/>
      <c r="E36" s="19"/>
      <c r="F36" s="19"/>
      <c r="G36" s="19"/>
      <c r="H36" s="19"/>
    </row>
    <row r="37" spans="1:8" ht="16.5" x14ac:dyDescent="0.3">
      <c r="A37" s="5" t="s">
        <v>5</v>
      </c>
      <c r="B37" s="20" t="s">
        <v>6</v>
      </c>
      <c r="C37" s="19"/>
      <c r="D37" s="19"/>
      <c r="E37" s="19"/>
      <c r="F37" s="20" t="s">
        <v>7</v>
      </c>
      <c r="G37" s="20" t="s">
        <v>8</v>
      </c>
      <c r="H37" s="19"/>
    </row>
    <row r="38" spans="1:8" ht="36" customHeight="1" x14ac:dyDescent="0.3">
      <c r="A38" s="14" t="s">
        <v>49</v>
      </c>
      <c r="B38" s="20" t="s">
        <v>50</v>
      </c>
      <c r="C38" s="19"/>
      <c r="D38" s="19"/>
      <c r="E38" s="19"/>
      <c r="F38" s="21" t="s">
        <v>19</v>
      </c>
      <c r="G38" s="22" t="str">
        <f>IF(F38="","PENDENTE",IF(F38="SIM","CONFORME","NÃO CONFORME"))</f>
        <v>PENDENTE</v>
      </c>
      <c r="H38" s="19"/>
    </row>
    <row r="39" spans="1:8" ht="36" customHeight="1" x14ac:dyDescent="0.3">
      <c r="A39" s="14" t="s">
        <v>51</v>
      </c>
      <c r="B39" s="20" t="s">
        <v>52</v>
      </c>
      <c r="C39" s="19"/>
      <c r="D39" s="19"/>
      <c r="E39" s="19"/>
      <c r="F39" s="21" t="s">
        <v>19</v>
      </c>
      <c r="G39" s="22" t="str">
        <f>IF(F39="","PENDENTE",IF(F39="SIM","CONFORME","NÃO CONFORME"))</f>
        <v>PENDENTE</v>
      </c>
      <c r="H39" s="19"/>
    </row>
    <row r="40" spans="1:8" ht="25.5" x14ac:dyDescent="0.3">
      <c r="A40" s="5" t="s">
        <v>9</v>
      </c>
      <c r="B40" s="19"/>
      <c r="C40" s="19"/>
      <c r="D40" s="19"/>
      <c r="E40" s="19"/>
      <c r="F40" s="23" t="str">
        <f>IF(COUNTIF(G38:G39,"PENDENTE")&gt;0,"PENDENTE",IF(COUNTIF(G38:G39,"NÃO CONFORME")&gt;0,"NÃO CONFORME","CONFORME"))</f>
        <v>PENDENTE</v>
      </c>
      <c r="G40" s="19"/>
      <c r="H40" s="24" t="str">
        <f>IF(COUNTIF(G38:G39,"PENDENTE")&gt;0,"",COUNTIF(G38:G39,"CONFORME")/ROWS(G38:G39))</f>
        <v/>
      </c>
    </row>
    <row r="41" spans="1:8" ht="51.75" thickBot="1" x14ac:dyDescent="0.35">
      <c r="A41" s="15" t="s">
        <v>10</v>
      </c>
      <c r="B41" s="19"/>
      <c r="C41" s="19"/>
      <c r="D41" s="19"/>
      <c r="E41" s="19"/>
      <c r="F41" s="19"/>
      <c r="G41" s="19"/>
      <c r="H41" s="19"/>
    </row>
    <row r="42" spans="1:8" ht="114.95" customHeight="1" thickBot="1" x14ac:dyDescent="0.35">
      <c r="A42" s="16" t="s">
        <v>34</v>
      </c>
      <c r="B42" s="19"/>
      <c r="C42" s="19"/>
      <c r="D42" s="19"/>
      <c r="E42" s="19"/>
      <c r="F42" s="19"/>
      <c r="G42" s="19"/>
      <c r="H42" s="19"/>
    </row>
    <row r="43" spans="1:8" ht="16.5" x14ac:dyDescent="0.3">
      <c r="A43" s="19"/>
      <c r="B43" s="19"/>
      <c r="C43" s="19"/>
      <c r="D43" s="19"/>
      <c r="E43" s="19"/>
      <c r="F43" s="19"/>
      <c r="G43" s="19"/>
      <c r="H43" s="19"/>
    </row>
    <row r="44" spans="1:8" ht="23.1" customHeight="1" x14ac:dyDescent="0.3">
      <c r="A44" s="13" t="s">
        <v>53</v>
      </c>
      <c r="B44" s="19"/>
      <c r="C44" s="19"/>
      <c r="D44" s="19"/>
      <c r="E44" s="19"/>
      <c r="F44" s="19"/>
      <c r="G44" s="19"/>
      <c r="H44" s="19"/>
    </row>
    <row r="45" spans="1:8" ht="16.5" x14ac:dyDescent="0.3">
      <c r="A45" s="5" t="s">
        <v>5</v>
      </c>
      <c r="B45" s="20" t="s">
        <v>6</v>
      </c>
      <c r="C45" s="19"/>
      <c r="D45" s="19"/>
      <c r="E45" s="19"/>
      <c r="F45" s="20" t="s">
        <v>7</v>
      </c>
      <c r="G45" s="20" t="s">
        <v>8</v>
      </c>
      <c r="H45" s="19"/>
    </row>
    <row r="46" spans="1:8" ht="36" customHeight="1" x14ac:dyDescent="0.3">
      <c r="A46" s="14" t="s">
        <v>54</v>
      </c>
      <c r="B46" s="20" t="s">
        <v>55</v>
      </c>
      <c r="C46" s="19"/>
      <c r="D46" s="19"/>
      <c r="E46" s="19"/>
      <c r="F46" s="21" t="s">
        <v>19</v>
      </c>
      <c r="G46" s="22" t="str">
        <f>IF(F46="","PENDENTE",IF(F46="SIM","CONFORME","NÃO CONFORME"))</f>
        <v>PENDENTE</v>
      </c>
      <c r="H46" s="19"/>
    </row>
    <row r="47" spans="1:8" ht="36" customHeight="1" x14ac:dyDescent="0.3">
      <c r="A47" s="14" t="s">
        <v>56</v>
      </c>
      <c r="B47" s="20" t="s">
        <v>57</v>
      </c>
      <c r="C47" s="19"/>
      <c r="D47" s="19"/>
      <c r="E47" s="19"/>
      <c r="F47" s="21" t="s">
        <v>19</v>
      </c>
      <c r="G47" s="22" t="str">
        <f>IF(F47="","PENDENTE",IF(F47="SIM","CONFORME","NÃO CONFORME"))</f>
        <v>PENDENTE</v>
      </c>
      <c r="H47" s="19"/>
    </row>
    <row r="48" spans="1:8" ht="25.5" x14ac:dyDescent="0.3">
      <c r="A48" s="5" t="s">
        <v>9</v>
      </c>
      <c r="B48" s="19"/>
      <c r="C48" s="19"/>
      <c r="D48" s="19"/>
      <c r="E48" s="19"/>
      <c r="F48" s="23" t="str">
        <f>IF(COUNTIF(G46:G47,"PENDENTE")&gt;0,"PENDENTE",IF(COUNTIF(G46:G47,"NÃO CONFORME")&gt;0,"NÃO CONFORME","CONFORME"))</f>
        <v>PENDENTE</v>
      </c>
      <c r="G48" s="19"/>
      <c r="H48" s="24" t="str">
        <f>IF(COUNTIF(G46:G47,"PENDENTE")&gt;0,"",COUNTIF(G46:G47,"CONFORME")/ROWS(G46:G47))</f>
        <v/>
      </c>
    </row>
    <row r="49" spans="1:8" ht="51.75" thickBot="1" x14ac:dyDescent="0.35">
      <c r="A49" s="15" t="s">
        <v>10</v>
      </c>
      <c r="B49" s="19"/>
      <c r="C49" s="19"/>
      <c r="D49" s="19"/>
      <c r="E49" s="19"/>
      <c r="F49" s="19"/>
      <c r="G49" s="19"/>
      <c r="H49" s="19"/>
    </row>
    <row r="50" spans="1:8" ht="114.95" customHeight="1" thickBot="1" x14ac:dyDescent="0.35">
      <c r="A50" s="16" t="s">
        <v>34</v>
      </c>
      <c r="B50" s="19"/>
      <c r="C50" s="19"/>
      <c r="D50" s="19"/>
      <c r="E50" s="19"/>
      <c r="F50" s="19"/>
      <c r="G50" s="19"/>
      <c r="H50" s="19"/>
    </row>
    <row r="51" spans="1:8" ht="16.5" x14ac:dyDescent="0.3">
      <c r="A51" s="19"/>
      <c r="B51" s="19"/>
      <c r="C51" s="19"/>
      <c r="D51" s="19"/>
      <c r="E51" s="19"/>
      <c r="F51" s="19"/>
      <c r="G51" s="19"/>
      <c r="H51" s="19"/>
    </row>
    <row r="52" spans="1:8" ht="23.1" customHeight="1" x14ac:dyDescent="0.3">
      <c r="A52" s="13" t="s">
        <v>58</v>
      </c>
      <c r="B52" s="19"/>
      <c r="C52" s="19"/>
      <c r="D52" s="19"/>
      <c r="E52" s="19"/>
      <c r="F52" s="19"/>
      <c r="G52" s="19"/>
      <c r="H52" s="19"/>
    </row>
    <row r="53" spans="1:8" ht="16.5" x14ac:dyDescent="0.3">
      <c r="A53" s="5" t="s">
        <v>5</v>
      </c>
      <c r="B53" s="20" t="s">
        <v>6</v>
      </c>
      <c r="C53" s="19"/>
      <c r="D53" s="19"/>
      <c r="E53" s="19"/>
      <c r="F53" s="20" t="s">
        <v>7</v>
      </c>
      <c r="G53" s="20" t="s">
        <v>8</v>
      </c>
      <c r="H53" s="19"/>
    </row>
    <row r="54" spans="1:8" ht="36" customHeight="1" x14ac:dyDescent="0.3">
      <c r="A54" s="14" t="s">
        <v>59</v>
      </c>
      <c r="B54" s="20" t="s">
        <v>60</v>
      </c>
      <c r="C54" s="19"/>
      <c r="D54" s="19"/>
      <c r="E54" s="19"/>
      <c r="F54" s="21" t="s">
        <v>19</v>
      </c>
      <c r="G54" s="22" t="str">
        <f>IF(F54="","PENDENTE",IF(F54="SIM","CONFORME","NÃO CONFORME"))</f>
        <v>PENDENTE</v>
      </c>
      <c r="H54" s="19"/>
    </row>
    <row r="55" spans="1:8" ht="36" customHeight="1" x14ac:dyDescent="0.3">
      <c r="A55" s="14" t="s">
        <v>61</v>
      </c>
      <c r="B55" s="20" t="s">
        <v>62</v>
      </c>
      <c r="C55" s="19"/>
      <c r="D55" s="19"/>
      <c r="E55" s="19"/>
      <c r="F55" s="21" t="s">
        <v>19</v>
      </c>
      <c r="G55" s="22" t="str">
        <f>IF(F55="","PENDENTE",IF(F55="SIM","CONFORME","NÃO CONFORME"))</f>
        <v>PENDENTE</v>
      </c>
      <c r="H55" s="19"/>
    </row>
    <row r="56" spans="1:8" ht="25.5" x14ac:dyDescent="0.3">
      <c r="A56" s="5" t="s">
        <v>9</v>
      </c>
      <c r="B56" s="19"/>
      <c r="C56" s="19"/>
      <c r="D56" s="19"/>
      <c r="E56" s="19"/>
      <c r="F56" s="23" t="str">
        <f>IF(COUNTIF(G54:G55,"PENDENTE")&gt;0,"PENDENTE",IF(COUNTIF(G54:G55,"NÃO CONFORME")&gt;0,"NÃO CONFORME","CONFORME"))</f>
        <v>PENDENTE</v>
      </c>
      <c r="G56" s="19"/>
      <c r="H56" s="24" t="str">
        <f>IF(COUNTIF(G54:G55,"PENDENTE")&gt;0,"",COUNTIF(G54:G55,"CONFORME")/ROWS(G54:G55))</f>
        <v/>
      </c>
    </row>
    <row r="57" spans="1:8" ht="51.75" thickBot="1" x14ac:dyDescent="0.35">
      <c r="A57" s="15" t="s">
        <v>10</v>
      </c>
      <c r="B57" s="19"/>
      <c r="C57" s="19"/>
      <c r="D57" s="19"/>
      <c r="E57" s="19"/>
      <c r="F57" s="19"/>
      <c r="G57" s="19"/>
      <c r="H57" s="19"/>
    </row>
    <row r="58" spans="1:8" ht="114.95" customHeight="1" thickBot="1" x14ac:dyDescent="0.35">
      <c r="A58" s="16" t="s">
        <v>34</v>
      </c>
      <c r="B58" s="19"/>
      <c r="C58" s="19"/>
      <c r="D58" s="19"/>
      <c r="E58" s="19"/>
      <c r="F58" s="19"/>
      <c r="G58" s="19"/>
      <c r="H58" s="19"/>
    </row>
    <row r="59" spans="1:8" ht="16.5" x14ac:dyDescent="0.3">
      <c r="A59" s="19"/>
      <c r="B59" s="19"/>
      <c r="C59" s="19"/>
      <c r="D59" s="19"/>
      <c r="E59" s="19"/>
      <c r="F59" s="19"/>
      <c r="G59" s="19"/>
      <c r="H59" s="19"/>
    </row>
    <row r="60" spans="1:8" ht="23.1" customHeight="1" x14ac:dyDescent="0.3">
      <c r="A60" s="13" t="s">
        <v>63</v>
      </c>
      <c r="B60" s="19"/>
      <c r="C60" s="19"/>
      <c r="D60" s="19"/>
      <c r="E60" s="19"/>
      <c r="F60" s="19"/>
      <c r="G60" s="19"/>
      <c r="H60" s="19"/>
    </row>
    <row r="61" spans="1:8" ht="16.5" x14ac:dyDescent="0.3">
      <c r="A61" s="5" t="s">
        <v>5</v>
      </c>
      <c r="B61" s="20" t="s">
        <v>6</v>
      </c>
      <c r="C61" s="19"/>
      <c r="D61" s="19"/>
      <c r="E61" s="19"/>
      <c r="F61" s="20" t="s">
        <v>7</v>
      </c>
      <c r="G61" s="20" t="s">
        <v>8</v>
      </c>
      <c r="H61" s="19"/>
    </row>
    <row r="62" spans="1:8" ht="36" customHeight="1" x14ac:dyDescent="0.3">
      <c r="A62" s="14" t="s">
        <v>64</v>
      </c>
      <c r="B62" s="20" t="s">
        <v>65</v>
      </c>
      <c r="C62" s="19"/>
      <c r="D62" s="19"/>
      <c r="E62" s="19"/>
      <c r="F62" s="21" t="s">
        <v>19</v>
      </c>
      <c r="G62" s="22" t="str">
        <f>IF(F62="","PENDENTE",IF(F62="SIM","CONFORME","NÃO CONFORME"))</f>
        <v>PENDENTE</v>
      </c>
      <c r="H62" s="19"/>
    </row>
    <row r="63" spans="1:8" ht="36" customHeight="1" x14ac:dyDescent="0.3">
      <c r="A63" s="14" t="s">
        <v>66</v>
      </c>
      <c r="B63" s="20" t="s">
        <v>67</v>
      </c>
      <c r="C63" s="19"/>
      <c r="D63" s="19"/>
      <c r="E63" s="19"/>
      <c r="F63" s="21" t="s">
        <v>19</v>
      </c>
      <c r="G63" s="22" t="str">
        <f>IF(F63="","PENDENTE",IF(F63="SIM","CONFORME","NÃO CONFORME"))</f>
        <v>PENDENTE</v>
      </c>
      <c r="H63" s="19"/>
    </row>
    <row r="64" spans="1:8" ht="36" customHeight="1" x14ac:dyDescent="0.3">
      <c r="A64" s="14" t="s">
        <v>68</v>
      </c>
      <c r="B64" s="20" t="s">
        <v>69</v>
      </c>
      <c r="C64" s="19"/>
      <c r="D64" s="19"/>
      <c r="E64" s="19"/>
      <c r="F64" s="21" t="s">
        <v>19</v>
      </c>
      <c r="G64" s="22" t="str">
        <f>IF(F64="","PENDENTE",IF(F64="SIM","CONFORME","NÃO CONFORME"))</f>
        <v>PENDENTE</v>
      </c>
      <c r="H64" s="19"/>
    </row>
    <row r="65" spans="1:8" ht="36" customHeight="1" x14ac:dyDescent="0.3">
      <c r="A65" s="14" t="s">
        <v>70</v>
      </c>
      <c r="B65" s="20" t="s">
        <v>71</v>
      </c>
      <c r="C65" s="19"/>
      <c r="D65" s="19"/>
      <c r="E65" s="19"/>
      <c r="F65" s="21" t="s">
        <v>19</v>
      </c>
      <c r="G65" s="22" t="str">
        <f>IF(F65="","PENDENTE",IF(F65="SIM","CONFORME","NÃO CONFORME"))</f>
        <v>PENDENTE</v>
      </c>
      <c r="H65" s="19"/>
    </row>
    <row r="66" spans="1:8" ht="36" customHeight="1" x14ac:dyDescent="0.3">
      <c r="A66" s="14" t="s">
        <v>72</v>
      </c>
      <c r="B66" s="20" t="s">
        <v>73</v>
      </c>
      <c r="C66" s="19"/>
      <c r="D66" s="19"/>
      <c r="E66" s="19"/>
      <c r="F66" s="21" t="s">
        <v>19</v>
      </c>
      <c r="G66" s="22" t="str">
        <f>IF(F66="","PENDENTE",IF(F66="SIM","CONFORME","NÃO CONFORME"))</f>
        <v>PENDENTE</v>
      </c>
      <c r="H66" s="19"/>
    </row>
    <row r="67" spans="1:8" ht="25.5" x14ac:dyDescent="0.3">
      <c r="A67" s="5" t="s">
        <v>9</v>
      </c>
      <c r="B67" s="19"/>
      <c r="C67" s="19"/>
      <c r="D67" s="19"/>
      <c r="E67" s="19"/>
      <c r="F67" s="23" t="str">
        <f>IF(COUNTIF(G62:G66,"PENDENTE")&gt;0,"PENDENTE",IF(COUNTIF(G62:G66,"NÃO CONFORME")&gt;0,"NÃO CONFORME","CONFORME"))</f>
        <v>PENDENTE</v>
      </c>
      <c r="G67" s="19"/>
      <c r="H67" s="24" t="str">
        <f>IF(COUNTIF(G62:G66,"PENDENTE")&gt;0,"",COUNTIF(G62:G66,"CONFORME")/ROWS(G62:G66))</f>
        <v/>
      </c>
    </row>
    <row r="68" spans="1:8" ht="51.75" thickBot="1" x14ac:dyDescent="0.35">
      <c r="A68" s="15" t="s">
        <v>10</v>
      </c>
      <c r="B68" s="19"/>
      <c r="C68" s="19"/>
      <c r="D68" s="19"/>
      <c r="E68" s="19"/>
      <c r="F68" s="19"/>
      <c r="G68" s="19"/>
      <c r="H68" s="19"/>
    </row>
    <row r="69" spans="1:8" ht="114.95" customHeight="1" thickBot="1" x14ac:dyDescent="0.35">
      <c r="A69" s="16" t="s">
        <v>34</v>
      </c>
      <c r="B69" s="19"/>
      <c r="C69" s="19"/>
      <c r="D69" s="19"/>
      <c r="E69" s="19"/>
      <c r="F69" s="19"/>
      <c r="G69" s="19"/>
      <c r="H69" s="19"/>
    </row>
    <row r="70" spans="1:8" ht="16.5" x14ac:dyDescent="0.3">
      <c r="A70" s="19"/>
      <c r="B70" s="19"/>
      <c r="C70" s="19"/>
      <c r="D70" s="19"/>
      <c r="E70" s="19"/>
      <c r="F70" s="19"/>
      <c r="G70" s="19"/>
      <c r="H70" s="19"/>
    </row>
    <row r="71" spans="1:8" ht="23.1" customHeight="1" x14ac:dyDescent="0.3">
      <c r="A71" s="13" t="s">
        <v>74</v>
      </c>
      <c r="B71" s="19"/>
      <c r="C71" s="19"/>
      <c r="D71" s="19"/>
      <c r="E71" s="19"/>
      <c r="F71" s="19"/>
      <c r="G71" s="19"/>
      <c r="H71" s="19"/>
    </row>
    <row r="72" spans="1:8" ht="16.5" x14ac:dyDescent="0.3">
      <c r="A72" s="5" t="s">
        <v>5</v>
      </c>
      <c r="B72" s="20" t="s">
        <v>6</v>
      </c>
      <c r="C72" s="19"/>
      <c r="D72" s="19"/>
      <c r="E72" s="19"/>
      <c r="F72" s="20" t="s">
        <v>7</v>
      </c>
      <c r="G72" s="20" t="s">
        <v>8</v>
      </c>
      <c r="H72" s="19"/>
    </row>
    <row r="73" spans="1:8" ht="36" customHeight="1" x14ac:dyDescent="0.3">
      <c r="A73" s="14" t="s">
        <v>75</v>
      </c>
      <c r="B73" s="20" t="s">
        <v>76</v>
      </c>
      <c r="C73" s="19"/>
      <c r="D73" s="19"/>
      <c r="E73" s="19"/>
      <c r="F73" s="21" t="s">
        <v>19</v>
      </c>
      <c r="G73" s="22" t="str">
        <f>IF(F73="","PENDENTE",IF(F73="SIM","CONFORME","NÃO CONFORME"))</f>
        <v>PENDENTE</v>
      </c>
      <c r="H73" s="19"/>
    </row>
    <row r="74" spans="1:8" ht="36" customHeight="1" x14ac:dyDescent="0.3">
      <c r="A74" s="14" t="s">
        <v>77</v>
      </c>
      <c r="B74" s="20" t="s">
        <v>78</v>
      </c>
      <c r="C74" s="19"/>
      <c r="D74" s="19"/>
      <c r="E74" s="19"/>
      <c r="F74" s="21" t="s">
        <v>19</v>
      </c>
      <c r="G74" s="22" t="str">
        <f>IF(F74="","PENDENTE",IF(F74="NÃO","CONFORME","NÃO CONFORME"))</f>
        <v>PENDENTE</v>
      </c>
      <c r="H74" s="19"/>
    </row>
    <row r="75" spans="1:8" ht="36" customHeight="1" x14ac:dyDescent="0.3">
      <c r="A75" s="14" t="s">
        <v>79</v>
      </c>
      <c r="B75" s="20" t="s">
        <v>80</v>
      </c>
      <c r="C75" s="19"/>
      <c r="D75" s="19"/>
      <c r="E75" s="19"/>
      <c r="F75" s="21" t="s">
        <v>19</v>
      </c>
      <c r="G75" s="22" t="str">
        <f>IF(F75="","PENDENTE",IF(F75="SIM","CONFORME","NÃO CONFORME"))</f>
        <v>PENDENTE</v>
      </c>
      <c r="H75" s="19"/>
    </row>
    <row r="76" spans="1:8" ht="25.5" x14ac:dyDescent="0.3">
      <c r="A76" s="5" t="s">
        <v>9</v>
      </c>
      <c r="B76" s="19"/>
      <c r="C76" s="19"/>
      <c r="D76" s="19"/>
      <c r="E76" s="19"/>
      <c r="F76" s="23" t="str">
        <f>IF(COUNTIF(G73:G75,"PENDENTE")&gt;0,"PENDENTE",IF(COUNTIF(G73:G75,"NÃO CONFORME")&gt;0,"NÃO CONFORME","CONFORME"))</f>
        <v>PENDENTE</v>
      </c>
      <c r="G76" s="19"/>
      <c r="H76" s="24" t="str">
        <f>IF(COUNTIF(G73:G75,"PENDENTE")&gt;0,"",COUNTIF(G73:G75,"CONFORME")/ROWS(G73:G75))</f>
        <v/>
      </c>
    </row>
    <row r="77" spans="1:8" ht="51.75" thickBot="1" x14ac:dyDescent="0.35">
      <c r="A77" s="15" t="s">
        <v>10</v>
      </c>
      <c r="B77" s="19"/>
      <c r="C77" s="19"/>
      <c r="D77" s="19"/>
      <c r="E77" s="19"/>
      <c r="F77" s="19"/>
      <c r="G77" s="19"/>
      <c r="H77" s="19"/>
    </row>
    <row r="78" spans="1:8" ht="114.95" customHeight="1" thickBot="1" x14ac:dyDescent="0.35">
      <c r="A78" s="16" t="s">
        <v>34</v>
      </c>
      <c r="B78" s="19"/>
      <c r="C78" s="19"/>
      <c r="D78" s="19"/>
      <c r="E78" s="19"/>
      <c r="F78" s="19"/>
      <c r="G78" s="19"/>
      <c r="H78" s="19"/>
    </row>
    <row r="79" spans="1:8" ht="16.5" x14ac:dyDescent="0.3">
      <c r="A79" s="19"/>
      <c r="B79" s="19"/>
      <c r="C79" s="19"/>
      <c r="D79" s="19"/>
      <c r="E79" s="19"/>
      <c r="F79" s="19"/>
      <c r="G79" s="19"/>
      <c r="H79" s="19"/>
    </row>
    <row r="80" spans="1:8" ht="23.1" customHeight="1" x14ac:dyDescent="0.3">
      <c r="A80" s="13" t="s">
        <v>81</v>
      </c>
      <c r="B80" s="19"/>
      <c r="C80" s="19"/>
      <c r="D80" s="19"/>
      <c r="E80" s="19"/>
      <c r="F80" s="19"/>
      <c r="G80" s="19"/>
      <c r="H80" s="19"/>
    </row>
    <row r="81" spans="1:8" ht="16.5" x14ac:dyDescent="0.3">
      <c r="A81" s="5" t="s">
        <v>5</v>
      </c>
      <c r="B81" s="20" t="s">
        <v>6</v>
      </c>
      <c r="C81" s="19"/>
      <c r="D81" s="19"/>
      <c r="E81" s="19"/>
      <c r="F81" s="20" t="s">
        <v>7</v>
      </c>
      <c r="G81" s="20" t="s">
        <v>8</v>
      </c>
      <c r="H81" s="19"/>
    </row>
    <row r="82" spans="1:8" ht="36" customHeight="1" x14ac:dyDescent="0.3">
      <c r="A82" s="14" t="s">
        <v>82</v>
      </c>
      <c r="B82" s="20" t="s">
        <v>83</v>
      </c>
      <c r="C82" s="19"/>
      <c r="D82" s="19"/>
      <c r="E82" s="19"/>
      <c r="F82" s="21" t="s">
        <v>19</v>
      </c>
      <c r="G82" s="22" t="str">
        <f>IF(F82="","PENDENTE",IF(F82="SIM","CONFORME","NÃO CONFORME"))</f>
        <v>PENDENTE</v>
      </c>
      <c r="H82" s="19"/>
    </row>
    <row r="83" spans="1:8" ht="36" customHeight="1" x14ac:dyDescent="0.3">
      <c r="A83" s="14" t="s">
        <v>84</v>
      </c>
      <c r="B83" s="20" t="s">
        <v>85</v>
      </c>
      <c r="C83" s="19"/>
      <c r="D83" s="19"/>
      <c r="E83" s="19"/>
      <c r="F83" s="21" t="s">
        <v>19</v>
      </c>
      <c r="G83" s="22" t="str">
        <f>IF(F83="","PENDENTE",IF(F83="SIM","CONFORME","NÃO CONFORME"))</f>
        <v>PENDENTE</v>
      </c>
      <c r="H83" s="19"/>
    </row>
    <row r="84" spans="1:8" ht="36" customHeight="1" x14ac:dyDescent="0.3">
      <c r="A84" s="14" t="s">
        <v>86</v>
      </c>
      <c r="B84" s="20" t="s">
        <v>87</v>
      </c>
      <c r="C84" s="19"/>
      <c r="D84" s="19"/>
      <c r="E84" s="19"/>
      <c r="F84" s="21" t="s">
        <v>19</v>
      </c>
      <c r="G84" s="22" t="str">
        <f>IF(F84="","PENDENTE",IF(F84="SIM","CONFORME","NÃO CONFORME"))</f>
        <v>PENDENTE</v>
      </c>
      <c r="H84" s="19"/>
    </row>
    <row r="85" spans="1:8" ht="25.5" x14ac:dyDescent="0.3">
      <c r="A85" s="5" t="s">
        <v>9</v>
      </c>
      <c r="B85" s="19"/>
      <c r="C85" s="19"/>
      <c r="D85" s="19"/>
      <c r="E85" s="19"/>
      <c r="F85" s="23" t="str">
        <f>IF(COUNTIF(G82:G84,"PENDENTE")&gt;0,"PENDENTE",IF(COUNTIF(G82:G84,"NÃO CONFORME")&gt;0,"NÃO CONFORME","CONFORME"))</f>
        <v>PENDENTE</v>
      </c>
      <c r="G85" s="19"/>
      <c r="H85" s="24" t="str">
        <f>IF(COUNTIF(G82:G84,"PENDENTE")&gt;0,"",COUNTIF(G82:G84,"CONFORME")/ROWS(G82:G84))</f>
        <v/>
      </c>
    </row>
    <row r="86" spans="1:8" ht="51.75" thickBot="1" x14ac:dyDescent="0.35">
      <c r="A86" s="15" t="s">
        <v>10</v>
      </c>
      <c r="B86" s="19"/>
      <c r="C86" s="19"/>
      <c r="D86" s="19"/>
      <c r="E86" s="19"/>
      <c r="F86" s="19"/>
      <c r="G86" s="19"/>
      <c r="H86" s="19"/>
    </row>
    <row r="87" spans="1:8" ht="114.95" customHeight="1" thickBot="1" x14ac:dyDescent="0.35">
      <c r="A87" s="16" t="s">
        <v>34</v>
      </c>
      <c r="B87" s="19"/>
      <c r="C87" s="19"/>
      <c r="D87" s="19"/>
      <c r="E87" s="19"/>
      <c r="F87" s="19"/>
      <c r="G87" s="19"/>
      <c r="H87" s="19"/>
    </row>
    <row r="88" spans="1:8" ht="16.5" x14ac:dyDescent="0.3">
      <c r="A88" s="19"/>
      <c r="B88" s="19"/>
      <c r="C88" s="19"/>
      <c r="D88" s="19"/>
      <c r="E88" s="19"/>
      <c r="F88" s="19"/>
      <c r="G88" s="19"/>
      <c r="H88" s="19"/>
    </row>
    <row r="89" spans="1:8" ht="23.1" customHeight="1" x14ac:dyDescent="0.3">
      <c r="A89" s="13" t="s">
        <v>88</v>
      </c>
      <c r="B89" s="19"/>
      <c r="C89" s="19"/>
      <c r="D89" s="19"/>
      <c r="E89" s="19"/>
      <c r="F89" s="19"/>
      <c r="G89" s="19"/>
      <c r="H89" s="19"/>
    </row>
    <row r="90" spans="1:8" ht="16.5" x14ac:dyDescent="0.3">
      <c r="A90" s="5" t="s">
        <v>5</v>
      </c>
      <c r="B90" s="20" t="s">
        <v>6</v>
      </c>
      <c r="C90" s="19"/>
      <c r="D90" s="19"/>
      <c r="E90" s="19"/>
      <c r="F90" s="20" t="s">
        <v>7</v>
      </c>
      <c r="G90" s="20" t="s">
        <v>8</v>
      </c>
      <c r="H90" s="19"/>
    </row>
    <row r="91" spans="1:8" ht="36" customHeight="1" x14ac:dyDescent="0.3">
      <c r="A91" s="14" t="s">
        <v>89</v>
      </c>
      <c r="B91" s="20" t="s">
        <v>90</v>
      </c>
      <c r="C91" s="19"/>
      <c r="D91" s="19"/>
      <c r="E91" s="19"/>
      <c r="F91" s="21" t="s">
        <v>19</v>
      </c>
      <c r="G91" s="22" t="str">
        <f>IF(F91="","PENDENTE",IF(F91="SIM","CONFORME","NÃO CONFORME"))</f>
        <v>PENDENTE</v>
      </c>
      <c r="H91" s="19"/>
    </row>
    <row r="92" spans="1:8" ht="36" customHeight="1" x14ac:dyDescent="0.3">
      <c r="A92" s="14" t="s">
        <v>91</v>
      </c>
      <c r="B92" s="20" t="s">
        <v>92</v>
      </c>
      <c r="C92" s="19"/>
      <c r="D92" s="19"/>
      <c r="E92" s="19"/>
      <c r="F92" s="21" t="s">
        <v>19</v>
      </c>
      <c r="G92" s="22" t="str">
        <f>IF(F92="","PENDENTE",IF(F92="SIM","CONFORME","NÃO CONFORME"))</f>
        <v>PENDENTE</v>
      </c>
      <c r="H92" s="19"/>
    </row>
    <row r="93" spans="1:8" ht="25.5" x14ac:dyDescent="0.3">
      <c r="A93" s="5" t="s">
        <v>9</v>
      </c>
      <c r="B93" s="19"/>
      <c r="C93" s="19"/>
      <c r="D93" s="19"/>
      <c r="E93" s="19"/>
      <c r="F93" s="23" t="str">
        <f>IF(COUNTIF(G91:G92,"PENDENTE")&gt;0,"PENDENTE",IF(COUNTIF(G91:G92,"NÃO CONFORME")&gt;0,"NÃO CONFORME","CONFORME"))</f>
        <v>PENDENTE</v>
      </c>
      <c r="G93" s="19"/>
      <c r="H93" s="24" t="str">
        <f>IF(COUNTIF(G91:G92,"PENDENTE")&gt;0,"",COUNTIF(G91:G92,"CONFORME")/ROWS(G91:G92))</f>
        <v/>
      </c>
    </row>
    <row r="94" spans="1:8" ht="51.75" thickBot="1" x14ac:dyDescent="0.35">
      <c r="A94" s="15" t="s">
        <v>10</v>
      </c>
      <c r="B94" s="19"/>
      <c r="C94" s="19"/>
      <c r="D94" s="19"/>
      <c r="E94" s="19"/>
      <c r="F94" s="19"/>
      <c r="G94" s="19"/>
      <c r="H94" s="19"/>
    </row>
    <row r="95" spans="1:8" ht="114.95" customHeight="1" thickBot="1" x14ac:dyDescent="0.35">
      <c r="A95" s="16" t="s">
        <v>34</v>
      </c>
      <c r="B95" s="19"/>
      <c r="C95" s="19"/>
      <c r="D95" s="19"/>
      <c r="E95" s="19"/>
      <c r="F95" s="19"/>
      <c r="G95" s="19"/>
      <c r="H95" s="19"/>
    </row>
    <row r="96" spans="1:8" ht="16.5" x14ac:dyDescent="0.3">
      <c r="A96" s="19"/>
      <c r="B96" s="19"/>
      <c r="C96" s="19"/>
      <c r="D96" s="19"/>
      <c r="E96" s="19"/>
      <c r="F96" s="19"/>
      <c r="G96" s="19"/>
      <c r="H96" s="19"/>
    </row>
    <row r="97" spans="1:8" ht="23.1" customHeight="1" x14ac:dyDescent="0.3">
      <c r="A97" s="13" t="s">
        <v>93</v>
      </c>
      <c r="B97" s="19"/>
      <c r="C97" s="19"/>
      <c r="D97" s="19"/>
      <c r="E97" s="19"/>
      <c r="F97" s="19"/>
      <c r="G97" s="19"/>
      <c r="H97" s="19"/>
    </row>
    <row r="98" spans="1:8" ht="16.5" x14ac:dyDescent="0.3">
      <c r="A98" s="5" t="s">
        <v>5</v>
      </c>
      <c r="B98" s="20" t="s">
        <v>6</v>
      </c>
      <c r="C98" s="19"/>
      <c r="D98" s="19"/>
      <c r="E98" s="19"/>
      <c r="F98" s="20" t="s">
        <v>7</v>
      </c>
      <c r="G98" s="20" t="s">
        <v>8</v>
      </c>
      <c r="H98" s="19"/>
    </row>
    <row r="99" spans="1:8" ht="36" customHeight="1" x14ac:dyDescent="0.3">
      <c r="A99" s="14" t="s">
        <v>94</v>
      </c>
      <c r="B99" s="20" t="s">
        <v>95</v>
      </c>
      <c r="C99" s="19"/>
      <c r="D99" s="19"/>
      <c r="E99" s="19"/>
      <c r="F99" s="21" t="s">
        <v>19</v>
      </c>
      <c r="G99" s="22" t="str">
        <f>IF(F99="","PENDENTE",IF(F99="SIM","CONFORME","NÃO CONFORME"))</f>
        <v>PENDENTE</v>
      </c>
      <c r="H99" s="19"/>
    </row>
    <row r="100" spans="1:8" ht="25.5" x14ac:dyDescent="0.3">
      <c r="A100" s="5" t="s">
        <v>9</v>
      </c>
      <c r="B100" s="19"/>
      <c r="C100" s="19"/>
      <c r="D100" s="19"/>
      <c r="E100" s="19"/>
      <c r="F100" s="23" t="str">
        <f>IF(COUNTIF(G99:G99,"PENDENTE")&gt;0,"PENDENTE",IF(COUNTIF(G99:G99,"NÃO CONFORME")&gt;0,"NÃO CONFORME","CONFORME"))</f>
        <v>PENDENTE</v>
      </c>
      <c r="G100" s="19"/>
      <c r="H100" s="24" t="str">
        <f>IF(COUNTIF(G99:G99,"PENDENTE")&gt;0,"",COUNTIF(G99:G99,"CONFORME")/ROWS(G99:G99))</f>
        <v/>
      </c>
    </row>
    <row r="101" spans="1:8" ht="51.75" thickBot="1" x14ac:dyDescent="0.35">
      <c r="A101" s="15" t="s">
        <v>10</v>
      </c>
      <c r="B101" s="19"/>
      <c r="C101" s="19"/>
      <c r="D101" s="19"/>
      <c r="E101" s="19"/>
      <c r="F101" s="19"/>
      <c r="G101" s="19"/>
      <c r="H101" s="19"/>
    </row>
    <row r="102" spans="1:8" ht="114.95" customHeight="1" thickBot="1" x14ac:dyDescent="0.35">
      <c r="A102" s="16" t="s">
        <v>34</v>
      </c>
      <c r="B102" s="19"/>
      <c r="C102" s="19"/>
      <c r="D102" s="19"/>
      <c r="E102" s="19"/>
      <c r="F102" s="19"/>
      <c r="G102" s="19"/>
      <c r="H102" s="19"/>
    </row>
    <row r="103" spans="1:8" ht="16.5" x14ac:dyDescent="0.3">
      <c r="A103" s="19"/>
      <c r="B103" s="19"/>
      <c r="C103" s="19"/>
      <c r="D103" s="19"/>
      <c r="E103" s="19"/>
      <c r="F103" s="19"/>
      <c r="G103" s="19"/>
      <c r="H103" s="19"/>
    </row>
    <row r="104" spans="1:8" ht="23.1" customHeight="1" x14ac:dyDescent="0.3">
      <c r="A104" s="13" t="s">
        <v>96</v>
      </c>
      <c r="B104" s="19"/>
      <c r="C104" s="19"/>
      <c r="D104" s="19"/>
      <c r="E104" s="19"/>
      <c r="F104" s="19"/>
      <c r="G104" s="19"/>
      <c r="H104" s="19"/>
    </row>
    <row r="105" spans="1:8" ht="16.5" x14ac:dyDescent="0.3">
      <c r="A105" s="5" t="s">
        <v>5</v>
      </c>
      <c r="B105" s="20" t="s">
        <v>6</v>
      </c>
      <c r="C105" s="19"/>
      <c r="D105" s="19"/>
      <c r="E105" s="19"/>
      <c r="F105" s="20" t="s">
        <v>7</v>
      </c>
      <c r="G105" s="20" t="s">
        <v>8</v>
      </c>
      <c r="H105" s="19"/>
    </row>
    <row r="106" spans="1:8" ht="36" customHeight="1" x14ac:dyDescent="0.3">
      <c r="A106" s="14" t="s">
        <v>97</v>
      </c>
      <c r="B106" s="20" t="s">
        <v>98</v>
      </c>
      <c r="C106" s="19"/>
      <c r="D106" s="19"/>
      <c r="E106" s="19"/>
      <c r="F106" s="21" t="s">
        <v>19</v>
      </c>
      <c r="G106" s="22" t="str">
        <f>IF(F106="","PENDENTE",IF(F106="SIM","CONFORME","NÃO CONFORME"))</f>
        <v>PENDENTE</v>
      </c>
      <c r="H106" s="19"/>
    </row>
    <row r="107" spans="1:8" ht="36" customHeight="1" x14ac:dyDescent="0.3">
      <c r="A107" s="14" t="s">
        <v>99</v>
      </c>
      <c r="B107" s="20" t="s">
        <v>100</v>
      </c>
      <c r="C107" s="19"/>
      <c r="D107" s="19"/>
      <c r="E107" s="19"/>
      <c r="F107" s="21" t="s">
        <v>19</v>
      </c>
      <c r="G107" s="22" t="str">
        <f>IF(F107="","PENDENTE",IF(F107="SIM","CONFORME","NÃO CONFORME"))</f>
        <v>PENDENTE</v>
      </c>
      <c r="H107" s="19"/>
    </row>
    <row r="108" spans="1:8" ht="36" customHeight="1" x14ac:dyDescent="0.3">
      <c r="A108" s="14" t="s">
        <v>101</v>
      </c>
      <c r="B108" s="20" t="s">
        <v>102</v>
      </c>
      <c r="C108" s="19"/>
      <c r="D108" s="19"/>
      <c r="E108" s="19"/>
      <c r="F108" s="21" t="s">
        <v>19</v>
      </c>
      <c r="G108" s="22" t="str">
        <f>IF(F108="","PENDENTE",IF(F108="SIM","CONFORME","NÃO CONFORME"))</f>
        <v>PENDENTE</v>
      </c>
      <c r="H108" s="19"/>
    </row>
    <row r="109" spans="1:8" ht="25.5" x14ac:dyDescent="0.3">
      <c r="A109" s="5" t="s">
        <v>9</v>
      </c>
      <c r="B109" s="19"/>
      <c r="C109" s="19"/>
      <c r="D109" s="19"/>
      <c r="E109" s="19"/>
      <c r="F109" s="23" t="str">
        <f>IF(COUNTIF(G106:G108,"PENDENTE")&gt;0,"PENDENTE",IF(COUNTIF(G106:G108,"NÃO CONFORME")&gt;0,"NÃO CONFORME","CONFORME"))</f>
        <v>PENDENTE</v>
      </c>
      <c r="G109" s="19"/>
      <c r="H109" s="24" t="str">
        <f>IF(COUNTIF(G106:G108,"PENDENTE")&gt;0,"",COUNTIF(G106:G108,"CONFORME")/ROWS(G106:G108))</f>
        <v/>
      </c>
    </row>
    <row r="110" spans="1:8" ht="51.75" thickBot="1" x14ac:dyDescent="0.35">
      <c r="A110" s="15" t="s">
        <v>10</v>
      </c>
      <c r="B110" s="19"/>
      <c r="C110" s="19"/>
      <c r="D110" s="19"/>
      <c r="E110" s="19"/>
      <c r="F110" s="19"/>
      <c r="G110" s="19"/>
      <c r="H110" s="19"/>
    </row>
    <row r="111" spans="1:8" ht="114.95" customHeight="1" thickBot="1" x14ac:dyDescent="0.35">
      <c r="A111" s="16" t="s">
        <v>34</v>
      </c>
      <c r="B111" s="19"/>
      <c r="C111" s="19"/>
      <c r="D111" s="19"/>
      <c r="E111" s="19"/>
      <c r="F111" s="19"/>
      <c r="G111" s="19"/>
      <c r="H111" s="19"/>
    </row>
    <row r="112" spans="1:8" ht="16.5" x14ac:dyDescent="0.3">
      <c r="A112" s="19"/>
      <c r="B112" s="19"/>
      <c r="C112" s="19"/>
      <c r="D112" s="19"/>
      <c r="E112" s="19"/>
      <c r="F112" s="19"/>
      <c r="G112" s="19"/>
      <c r="H112" s="19"/>
    </row>
  </sheetData>
  <sheetProtection sheet="1" scenarios="1" selectLockedCells="1"/>
  <mergeCells count="10">
    <mergeCell ref="B5:D5"/>
    <mergeCell ref="F5:H5"/>
    <mergeCell ref="B6:H6"/>
    <mergeCell ref="A8:H8"/>
    <mergeCell ref="B9:F9"/>
    <mergeCell ref="C1:H2"/>
    <mergeCell ref="B3:C3"/>
    <mergeCell ref="E3:F3"/>
    <mergeCell ref="B4:C4"/>
    <mergeCell ref="E4:F4"/>
  </mergeCells>
  <conditionalFormatting sqref="G13">
    <cfRule type="cellIs" dxfId="128" priority="1" stopIfTrue="1" operator="equal">
      <formula>"PENDENTE"</formula>
    </cfRule>
    <cfRule type="cellIs" dxfId="127" priority="2" stopIfTrue="1" operator="equal">
      <formula>"CONFORME"</formula>
    </cfRule>
    <cfRule type="cellIs" dxfId="126" priority="3" stopIfTrue="1" operator="equal">
      <formula>"NÃO CONFORME"</formula>
    </cfRule>
  </conditionalFormatting>
  <conditionalFormatting sqref="G14">
    <cfRule type="cellIs" dxfId="125" priority="4" stopIfTrue="1" operator="equal">
      <formula>"PENDENTE"</formula>
    </cfRule>
    <cfRule type="cellIs" dxfId="124" priority="5" stopIfTrue="1" operator="equal">
      <formula>"CONFORME"</formula>
    </cfRule>
    <cfRule type="cellIs" dxfId="123" priority="6" stopIfTrue="1" operator="equal">
      <formula>"NÃO CONFORME"</formula>
    </cfRule>
  </conditionalFormatting>
  <conditionalFormatting sqref="F15">
    <cfRule type="cellIs" dxfId="122" priority="7" stopIfTrue="1" operator="equal">
      <formula>"PENDENTE"</formula>
    </cfRule>
    <cfRule type="cellIs" dxfId="121" priority="8" stopIfTrue="1" operator="equal">
      <formula>"CONFORME"</formula>
    </cfRule>
    <cfRule type="cellIs" dxfId="120" priority="9" stopIfTrue="1" operator="equal">
      <formula>"NÃO CONFORME"</formula>
    </cfRule>
  </conditionalFormatting>
  <conditionalFormatting sqref="G21">
    <cfRule type="cellIs" dxfId="119" priority="10" stopIfTrue="1" operator="equal">
      <formula>"PENDENTE"</formula>
    </cfRule>
    <cfRule type="cellIs" dxfId="118" priority="11" stopIfTrue="1" operator="equal">
      <formula>"CONFORME"</formula>
    </cfRule>
    <cfRule type="cellIs" dxfId="117" priority="12" stopIfTrue="1" operator="equal">
      <formula>"NÃO CONFORME"</formula>
    </cfRule>
  </conditionalFormatting>
  <conditionalFormatting sqref="G22">
    <cfRule type="cellIs" dxfId="116" priority="13" stopIfTrue="1" operator="equal">
      <formula>"PENDENTE"</formula>
    </cfRule>
    <cfRule type="cellIs" dxfId="115" priority="14" stopIfTrue="1" operator="equal">
      <formula>"CONFORME"</formula>
    </cfRule>
    <cfRule type="cellIs" dxfId="114" priority="15" stopIfTrue="1" operator="equal">
      <formula>"NÃO CONFORME"</formula>
    </cfRule>
  </conditionalFormatting>
  <conditionalFormatting sqref="G23">
    <cfRule type="cellIs" dxfId="113" priority="16" stopIfTrue="1" operator="equal">
      <formula>"PENDENTE"</formula>
    </cfRule>
    <cfRule type="cellIs" dxfId="112" priority="17" stopIfTrue="1" operator="equal">
      <formula>"CONFORME"</formula>
    </cfRule>
    <cfRule type="cellIs" dxfId="111" priority="18" stopIfTrue="1" operator="equal">
      <formula>"NÃO CONFORME"</formula>
    </cfRule>
  </conditionalFormatting>
  <conditionalFormatting sqref="F24">
    <cfRule type="cellIs" dxfId="110" priority="19" stopIfTrue="1" operator="equal">
      <formula>"PENDENTE"</formula>
    </cfRule>
    <cfRule type="cellIs" dxfId="109" priority="20" stopIfTrue="1" operator="equal">
      <formula>"CONFORME"</formula>
    </cfRule>
    <cfRule type="cellIs" dxfId="108" priority="21" stopIfTrue="1" operator="equal">
      <formula>"NÃO CONFORME"</formula>
    </cfRule>
  </conditionalFormatting>
  <conditionalFormatting sqref="G30">
    <cfRule type="cellIs" dxfId="107" priority="22" stopIfTrue="1" operator="equal">
      <formula>"PENDENTE"</formula>
    </cfRule>
    <cfRule type="cellIs" dxfId="106" priority="23" stopIfTrue="1" operator="equal">
      <formula>"CONFORME"</formula>
    </cfRule>
    <cfRule type="cellIs" dxfId="105" priority="24" stopIfTrue="1" operator="equal">
      <formula>"NÃO CONFORME"</formula>
    </cfRule>
  </conditionalFormatting>
  <conditionalFormatting sqref="G31">
    <cfRule type="cellIs" dxfId="104" priority="25" stopIfTrue="1" operator="equal">
      <formula>"PENDENTE"</formula>
    </cfRule>
    <cfRule type="cellIs" dxfId="103" priority="26" stopIfTrue="1" operator="equal">
      <formula>"CONFORME"</formula>
    </cfRule>
    <cfRule type="cellIs" dxfId="102" priority="27" stopIfTrue="1" operator="equal">
      <formula>"NÃO CONFORME"</formula>
    </cfRule>
  </conditionalFormatting>
  <conditionalFormatting sqref="F32">
    <cfRule type="cellIs" dxfId="101" priority="28" stopIfTrue="1" operator="equal">
      <formula>"PENDENTE"</formula>
    </cfRule>
    <cfRule type="cellIs" dxfId="100" priority="29" stopIfTrue="1" operator="equal">
      <formula>"CONFORME"</formula>
    </cfRule>
    <cfRule type="cellIs" dxfId="99" priority="30" stopIfTrue="1" operator="equal">
      <formula>"NÃO CONFORME"</formula>
    </cfRule>
  </conditionalFormatting>
  <conditionalFormatting sqref="G38">
    <cfRule type="cellIs" dxfId="98" priority="31" stopIfTrue="1" operator="equal">
      <formula>"PENDENTE"</formula>
    </cfRule>
    <cfRule type="cellIs" dxfId="97" priority="32" stopIfTrue="1" operator="equal">
      <formula>"CONFORME"</formula>
    </cfRule>
    <cfRule type="cellIs" dxfId="96" priority="33" stopIfTrue="1" operator="equal">
      <formula>"NÃO CONFORME"</formula>
    </cfRule>
  </conditionalFormatting>
  <conditionalFormatting sqref="G39">
    <cfRule type="cellIs" dxfId="95" priority="34" stopIfTrue="1" operator="equal">
      <formula>"PENDENTE"</formula>
    </cfRule>
    <cfRule type="cellIs" dxfId="94" priority="35" stopIfTrue="1" operator="equal">
      <formula>"CONFORME"</formula>
    </cfRule>
    <cfRule type="cellIs" dxfId="93" priority="36" stopIfTrue="1" operator="equal">
      <formula>"NÃO CONFORME"</formula>
    </cfRule>
  </conditionalFormatting>
  <conditionalFormatting sqref="F40">
    <cfRule type="cellIs" dxfId="92" priority="37" stopIfTrue="1" operator="equal">
      <formula>"PENDENTE"</formula>
    </cfRule>
    <cfRule type="cellIs" dxfId="91" priority="38" stopIfTrue="1" operator="equal">
      <formula>"CONFORME"</formula>
    </cfRule>
    <cfRule type="cellIs" dxfId="90" priority="39" stopIfTrue="1" operator="equal">
      <formula>"NÃO CONFORME"</formula>
    </cfRule>
  </conditionalFormatting>
  <conditionalFormatting sqref="G46">
    <cfRule type="cellIs" dxfId="89" priority="40" stopIfTrue="1" operator="equal">
      <formula>"PENDENTE"</formula>
    </cfRule>
    <cfRule type="cellIs" dxfId="88" priority="41" stopIfTrue="1" operator="equal">
      <formula>"CONFORME"</formula>
    </cfRule>
    <cfRule type="cellIs" dxfId="87" priority="42" stopIfTrue="1" operator="equal">
      <formula>"NÃO CONFORME"</formula>
    </cfRule>
  </conditionalFormatting>
  <conditionalFormatting sqref="G47">
    <cfRule type="cellIs" dxfId="86" priority="43" stopIfTrue="1" operator="equal">
      <formula>"PENDENTE"</formula>
    </cfRule>
    <cfRule type="cellIs" dxfId="85" priority="44" stopIfTrue="1" operator="equal">
      <formula>"CONFORME"</formula>
    </cfRule>
    <cfRule type="cellIs" dxfId="84" priority="45" stopIfTrue="1" operator="equal">
      <formula>"NÃO CONFORME"</formula>
    </cfRule>
  </conditionalFormatting>
  <conditionalFormatting sqref="F48">
    <cfRule type="cellIs" dxfId="83" priority="46" stopIfTrue="1" operator="equal">
      <formula>"PENDENTE"</formula>
    </cfRule>
    <cfRule type="cellIs" dxfId="82" priority="47" stopIfTrue="1" operator="equal">
      <formula>"CONFORME"</formula>
    </cfRule>
    <cfRule type="cellIs" dxfId="81" priority="48" stopIfTrue="1" operator="equal">
      <formula>"NÃO CONFORME"</formula>
    </cfRule>
  </conditionalFormatting>
  <conditionalFormatting sqref="G54">
    <cfRule type="cellIs" dxfId="80" priority="49" stopIfTrue="1" operator="equal">
      <formula>"PENDENTE"</formula>
    </cfRule>
    <cfRule type="cellIs" dxfId="79" priority="50" stopIfTrue="1" operator="equal">
      <formula>"CONFORME"</formula>
    </cfRule>
    <cfRule type="cellIs" dxfId="78" priority="51" stopIfTrue="1" operator="equal">
      <formula>"NÃO CONFORME"</formula>
    </cfRule>
  </conditionalFormatting>
  <conditionalFormatting sqref="G55">
    <cfRule type="cellIs" dxfId="77" priority="52" stopIfTrue="1" operator="equal">
      <formula>"PENDENTE"</formula>
    </cfRule>
    <cfRule type="cellIs" dxfId="76" priority="53" stopIfTrue="1" operator="equal">
      <formula>"CONFORME"</formula>
    </cfRule>
    <cfRule type="cellIs" dxfId="75" priority="54" stopIfTrue="1" operator="equal">
      <formula>"NÃO CONFORME"</formula>
    </cfRule>
  </conditionalFormatting>
  <conditionalFormatting sqref="F56">
    <cfRule type="cellIs" dxfId="74" priority="55" stopIfTrue="1" operator="equal">
      <formula>"PENDENTE"</formula>
    </cfRule>
    <cfRule type="cellIs" dxfId="73" priority="56" stopIfTrue="1" operator="equal">
      <formula>"CONFORME"</formula>
    </cfRule>
    <cfRule type="cellIs" dxfId="72" priority="57" stopIfTrue="1" operator="equal">
      <formula>"NÃO CONFORME"</formula>
    </cfRule>
  </conditionalFormatting>
  <conditionalFormatting sqref="G62">
    <cfRule type="cellIs" dxfId="71" priority="58" stopIfTrue="1" operator="equal">
      <formula>"PENDENTE"</formula>
    </cfRule>
    <cfRule type="cellIs" dxfId="70" priority="59" stopIfTrue="1" operator="equal">
      <formula>"CONFORME"</formula>
    </cfRule>
    <cfRule type="cellIs" dxfId="69" priority="60" stopIfTrue="1" operator="equal">
      <formula>"NÃO CONFORME"</formula>
    </cfRule>
  </conditionalFormatting>
  <conditionalFormatting sqref="G63">
    <cfRule type="cellIs" dxfId="68" priority="61" stopIfTrue="1" operator="equal">
      <formula>"PENDENTE"</formula>
    </cfRule>
  </conditionalFormatting>
  <conditionalFormatting sqref="G63">
    <cfRule type="cellIs" dxfId="67" priority="62" stopIfTrue="1" operator="equal">
      <formula>"CONFORME"</formula>
    </cfRule>
  </conditionalFormatting>
  <conditionalFormatting sqref="G63">
    <cfRule type="cellIs" dxfId="66" priority="63" stopIfTrue="1" operator="equal">
      <formula>"NÃO CONFORME"</formula>
    </cfRule>
  </conditionalFormatting>
  <conditionalFormatting sqref="G64">
    <cfRule type="cellIs" dxfId="65" priority="64" stopIfTrue="1" operator="equal">
      <formula>"PENDENTE"</formula>
    </cfRule>
  </conditionalFormatting>
  <conditionalFormatting sqref="G64">
    <cfRule type="cellIs" dxfId="64" priority="65" stopIfTrue="1" operator="equal">
      <formula>"CONFORME"</formula>
    </cfRule>
  </conditionalFormatting>
  <conditionalFormatting sqref="G64">
    <cfRule type="cellIs" dxfId="63" priority="66" stopIfTrue="1" operator="equal">
      <formula>"NÃO CONFORME"</formula>
    </cfRule>
  </conditionalFormatting>
  <conditionalFormatting sqref="G65">
    <cfRule type="cellIs" dxfId="62" priority="67" stopIfTrue="1" operator="equal">
      <formula>"PENDENTE"</formula>
    </cfRule>
  </conditionalFormatting>
  <conditionalFormatting sqref="G65">
    <cfRule type="cellIs" dxfId="61" priority="68" stopIfTrue="1" operator="equal">
      <formula>"CONFORME"</formula>
    </cfRule>
  </conditionalFormatting>
  <conditionalFormatting sqref="G65">
    <cfRule type="cellIs" dxfId="60" priority="69" stopIfTrue="1" operator="equal">
      <formula>"NÃO CONFORME"</formula>
    </cfRule>
  </conditionalFormatting>
  <conditionalFormatting sqref="G66">
    <cfRule type="cellIs" dxfId="59" priority="70" stopIfTrue="1" operator="equal">
      <formula>"PENDENTE"</formula>
    </cfRule>
  </conditionalFormatting>
  <conditionalFormatting sqref="G66">
    <cfRule type="cellIs" dxfId="58" priority="71" stopIfTrue="1" operator="equal">
      <formula>"CONFORME"</formula>
    </cfRule>
  </conditionalFormatting>
  <conditionalFormatting sqref="G66">
    <cfRule type="cellIs" dxfId="57" priority="72" stopIfTrue="1" operator="equal">
      <formula>"NÃO CONFORME"</formula>
    </cfRule>
  </conditionalFormatting>
  <conditionalFormatting sqref="F67">
    <cfRule type="cellIs" dxfId="56" priority="73" stopIfTrue="1" operator="equal">
      <formula>"PENDENTE"</formula>
    </cfRule>
  </conditionalFormatting>
  <conditionalFormatting sqref="F67">
    <cfRule type="cellIs" dxfId="55" priority="74" stopIfTrue="1" operator="equal">
      <formula>"CONFORME"</formula>
    </cfRule>
  </conditionalFormatting>
  <conditionalFormatting sqref="F67">
    <cfRule type="cellIs" dxfId="54" priority="75" stopIfTrue="1" operator="equal">
      <formula>"NÃO CONFORME"</formula>
    </cfRule>
  </conditionalFormatting>
  <conditionalFormatting sqref="G73">
    <cfRule type="cellIs" dxfId="53" priority="76" stopIfTrue="1" operator="equal">
      <formula>"PENDENTE"</formula>
    </cfRule>
  </conditionalFormatting>
  <conditionalFormatting sqref="G73">
    <cfRule type="cellIs" dxfId="52" priority="77" stopIfTrue="1" operator="equal">
      <formula>"CONFORME"</formula>
    </cfRule>
  </conditionalFormatting>
  <conditionalFormatting sqref="G73">
    <cfRule type="cellIs" dxfId="51" priority="78" stopIfTrue="1" operator="equal">
      <formula>"NÃO CONFORME"</formula>
    </cfRule>
  </conditionalFormatting>
  <conditionalFormatting sqref="G74">
    <cfRule type="cellIs" dxfId="50" priority="79" stopIfTrue="1" operator="equal">
      <formula>"PENDENTE"</formula>
    </cfRule>
  </conditionalFormatting>
  <conditionalFormatting sqref="G74">
    <cfRule type="cellIs" dxfId="49" priority="80" stopIfTrue="1" operator="equal">
      <formula>"CONFORME"</formula>
    </cfRule>
  </conditionalFormatting>
  <conditionalFormatting sqref="G74">
    <cfRule type="cellIs" dxfId="48" priority="81" stopIfTrue="1" operator="equal">
      <formula>"NÃO CONFORME"</formula>
    </cfRule>
  </conditionalFormatting>
  <conditionalFormatting sqref="G75">
    <cfRule type="cellIs" dxfId="47" priority="82" stopIfTrue="1" operator="equal">
      <formula>"PENDENTE"</formula>
    </cfRule>
  </conditionalFormatting>
  <conditionalFormatting sqref="G75">
    <cfRule type="cellIs" dxfId="46" priority="83" stopIfTrue="1" operator="equal">
      <formula>"CONFORME"</formula>
    </cfRule>
  </conditionalFormatting>
  <conditionalFormatting sqref="G75">
    <cfRule type="cellIs" dxfId="45" priority="84" stopIfTrue="1" operator="equal">
      <formula>"NÃO CONFORME"</formula>
    </cfRule>
  </conditionalFormatting>
  <conditionalFormatting sqref="F76">
    <cfRule type="cellIs" dxfId="44" priority="85" stopIfTrue="1" operator="equal">
      <formula>"PENDENTE"</formula>
    </cfRule>
  </conditionalFormatting>
  <conditionalFormatting sqref="F76">
    <cfRule type="cellIs" dxfId="43" priority="86" stopIfTrue="1" operator="equal">
      <formula>"CONFORME"</formula>
    </cfRule>
  </conditionalFormatting>
  <conditionalFormatting sqref="F76">
    <cfRule type="cellIs" dxfId="42" priority="87" stopIfTrue="1" operator="equal">
      <formula>"NÃO CONFORME"</formula>
    </cfRule>
  </conditionalFormatting>
  <conditionalFormatting sqref="G82">
    <cfRule type="cellIs" dxfId="41" priority="88" stopIfTrue="1" operator="equal">
      <formula>"PENDENTE"</formula>
    </cfRule>
  </conditionalFormatting>
  <conditionalFormatting sqref="G82">
    <cfRule type="cellIs" dxfId="40" priority="89" stopIfTrue="1" operator="equal">
      <formula>"CONFORME"</formula>
    </cfRule>
  </conditionalFormatting>
  <conditionalFormatting sqref="G82">
    <cfRule type="cellIs" dxfId="39" priority="90" stopIfTrue="1" operator="equal">
      <formula>"NÃO CONFORME"</formula>
    </cfRule>
  </conditionalFormatting>
  <conditionalFormatting sqref="G83">
    <cfRule type="cellIs" dxfId="38" priority="91" stopIfTrue="1" operator="equal">
      <formula>"PENDENTE"</formula>
    </cfRule>
  </conditionalFormatting>
  <conditionalFormatting sqref="G83">
    <cfRule type="cellIs" dxfId="37" priority="92" stopIfTrue="1" operator="equal">
      <formula>"CONFORME"</formula>
    </cfRule>
  </conditionalFormatting>
  <conditionalFormatting sqref="G83">
    <cfRule type="cellIs" dxfId="36" priority="93" stopIfTrue="1" operator="equal">
      <formula>"NÃO CONFORME"</formula>
    </cfRule>
  </conditionalFormatting>
  <conditionalFormatting sqref="G84">
    <cfRule type="cellIs" dxfId="35" priority="94" stopIfTrue="1" operator="equal">
      <formula>"PENDENTE"</formula>
    </cfRule>
  </conditionalFormatting>
  <conditionalFormatting sqref="G84">
    <cfRule type="cellIs" dxfId="34" priority="95" stopIfTrue="1" operator="equal">
      <formula>"CONFORME"</formula>
    </cfRule>
  </conditionalFormatting>
  <conditionalFormatting sqref="G84">
    <cfRule type="cellIs" dxfId="33" priority="96" stopIfTrue="1" operator="equal">
      <formula>"NÃO CONFORME"</formula>
    </cfRule>
  </conditionalFormatting>
  <conditionalFormatting sqref="F85">
    <cfRule type="cellIs" dxfId="32" priority="97" stopIfTrue="1" operator="equal">
      <formula>"PENDENTE"</formula>
    </cfRule>
  </conditionalFormatting>
  <conditionalFormatting sqref="F85">
    <cfRule type="cellIs" dxfId="31" priority="98" stopIfTrue="1" operator="equal">
      <formula>"CONFORME"</formula>
    </cfRule>
  </conditionalFormatting>
  <conditionalFormatting sqref="F85">
    <cfRule type="cellIs" dxfId="30" priority="99" stopIfTrue="1" operator="equal">
      <formula>"NÃO CONFORME"</formula>
    </cfRule>
  </conditionalFormatting>
  <conditionalFormatting sqref="G91">
    <cfRule type="cellIs" dxfId="29" priority="100" stopIfTrue="1" operator="equal">
      <formula>"PENDENTE"</formula>
    </cfRule>
  </conditionalFormatting>
  <conditionalFormatting sqref="G91">
    <cfRule type="cellIs" dxfId="28" priority="101" stopIfTrue="1" operator="equal">
      <formula>"CONFORME"</formula>
    </cfRule>
  </conditionalFormatting>
  <conditionalFormatting sqref="G91">
    <cfRule type="cellIs" dxfId="27" priority="102" stopIfTrue="1" operator="equal">
      <formula>"NÃO CONFORME"</formula>
    </cfRule>
  </conditionalFormatting>
  <conditionalFormatting sqref="G92">
    <cfRule type="cellIs" dxfId="26" priority="103" stopIfTrue="1" operator="equal">
      <formula>"PENDENTE"</formula>
    </cfRule>
  </conditionalFormatting>
  <conditionalFormatting sqref="G92">
    <cfRule type="cellIs" dxfId="25" priority="104" stopIfTrue="1" operator="equal">
      <formula>"CONFORME"</formula>
    </cfRule>
  </conditionalFormatting>
  <conditionalFormatting sqref="G92">
    <cfRule type="cellIs" dxfId="24" priority="105" stopIfTrue="1" operator="equal">
      <formula>"NÃO CONFORME"</formula>
    </cfRule>
  </conditionalFormatting>
  <conditionalFormatting sqref="F93">
    <cfRule type="cellIs" dxfId="23" priority="106" stopIfTrue="1" operator="equal">
      <formula>"PENDENTE"</formula>
    </cfRule>
  </conditionalFormatting>
  <conditionalFormatting sqref="F93">
    <cfRule type="cellIs" dxfId="22" priority="107" stopIfTrue="1" operator="equal">
      <formula>"CONFORME"</formula>
    </cfRule>
  </conditionalFormatting>
  <conditionalFormatting sqref="F93">
    <cfRule type="cellIs" dxfId="21" priority="108" stopIfTrue="1" operator="equal">
      <formula>"NÃO CONFORME"</formula>
    </cfRule>
  </conditionalFormatting>
  <conditionalFormatting sqref="G99">
    <cfRule type="cellIs" dxfId="20" priority="109" stopIfTrue="1" operator="equal">
      <formula>"PENDENTE"</formula>
    </cfRule>
  </conditionalFormatting>
  <conditionalFormatting sqref="G99">
    <cfRule type="cellIs" dxfId="19" priority="110" stopIfTrue="1" operator="equal">
      <formula>"CONFORME"</formula>
    </cfRule>
  </conditionalFormatting>
  <conditionalFormatting sqref="G99">
    <cfRule type="cellIs" dxfId="18" priority="111" stopIfTrue="1" operator="equal">
      <formula>"NÃO CONFORME"</formula>
    </cfRule>
  </conditionalFormatting>
  <conditionalFormatting sqref="F100">
    <cfRule type="cellIs" dxfId="17" priority="112" stopIfTrue="1" operator="equal">
      <formula>"PENDENTE"</formula>
    </cfRule>
  </conditionalFormatting>
  <conditionalFormatting sqref="F100">
    <cfRule type="cellIs" dxfId="16" priority="113" stopIfTrue="1" operator="equal">
      <formula>"CONFORME"</formula>
    </cfRule>
  </conditionalFormatting>
  <conditionalFormatting sqref="F100">
    <cfRule type="cellIs" dxfId="15" priority="114" stopIfTrue="1" operator="equal">
      <formula>"NÃO CONFORME"</formula>
    </cfRule>
  </conditionalFormatting>
  <conditionalFormatting sqref="G106">
    <cfRule type="cellIs" dxfId="14" priority="115" stopIfTrue="1" operator="equal">
      <formula>"PENDENTE"</formula>
    </cfRule>
  </conditionalFormatting>
  <conditionalFormatting sqref="G106">
    <cfRule type="cellIs" dxfId="13" priority="116" stopIfTrue="1" operator="equal">
      <formula>"CONFORME"</formula>
    </cfRule>
  </conditionalFormatting>
  <conditionalFormatting sqref="G106">
    <cfRule type="cellIs" dxfId="12" priority="117" stopIfTrue="1" operator="equal">
      <formula>"NÃO CONFORME"</formula>
    </cfRule>
  </conditionalFormatting>
  <conditionalFormatting sqref="G107">
    <cfRule type="cellIs" dxfId="11" priority="118" stopIfTrue="1" operator="equal">
      <formula>"PENDENTE"</formula>
    </cfRule>
  </conditionalFormatting>
  <conditionalFormatting sqref="G107">
    <cfRule type="cellIs" dxfId="10" priority="119" stopIfTrue="1" operator="equal">
      <formula>"CONFORME"</formula>
    </cfRule>
  </conditionalFormatting>
  <conditionalFormatting sqref="G107">
    <cfRule type="cellIs" dxfId="9" priority="120" stopIfTrue="1" operator="equal">
      <formula>"NÃO CONFORME"</formula>
    </cfRule>
  </conditionalFormatting>
  <conditionalFormatting sqref="G108">
    <cfRule type="cellIs" dxfId="8" priority="121" stopIfTrue="1" operator="equal">
      <formula>"PENDENTE"</formula>
    </cfRule>
  </conditionalFormatting>
  <conditionalFormatting sqref="G108">
    <cfRule type="cellIs" dxfId="7" priority="122" stopIfTrue="1" operator="equal">
      <formula>"CONFORME"</formula>
    </cfRule>
  </conditionalFormatting>
  <conditionalFormatting sqref="G108">
    <cfRule type="cellIs" dxfId="6" priority="123" stopIfTrue="1" operator="equal">
      <formula>"NÃO CONFORME"</formula>
    </cfRule>
  </conditionalFormatting>
  <conditionalFormatting sqref="F109">
    <cfRule type="cellIs" dxfId="5" priority="124" stopIfTrue="1" operator="equal">
      <formula>"PENDENTE"</formula>
    </cfRule>
  </conditionalFormatting>
  <conditionalFormatting sqref="F109">
    <cfRule type="cellIs" dxfId="4" priority="125" stopIfTrue="1" operator="equal">
      <formula>"CONFORME"</formula>
    </cfRule>
  </conditionalFormatting>
  <conditionalFormatting sqref="F109">
    <cfRule type="cellIs" dxfId="3" priority="126" stopIfTrue="1" operator="equal">
      <formula>"NÃO CONFORME"</formula>
    </cfRule>
  </conditionalFormatting>
  <conditionalFormatting sqref="B9:F9">
    <cfRule type="cellIs" dxfId="2" priority="127" stopIfTrue="1" operator="equal">
      <formula>"PENDENTE"</formula>
    </cfRule>
    <cfRule type="cellIs" dxfId="1" priority="128" stopIfTrue="1" operator="equal">
      <formula>"CONFORME"</formula>
    </cfRule>
    <cfRule type="cellIs" dxfId="0" priority="129" stopIfTrue="1" operator="equal">
      <formula>"NÃO CONFORME"</formula>
    </cfRule>
  </conditionalFormatting>
  <dataValidations count="30">
    <dataValidation type="list" allowBlank="1" showInputMessage="1" showErrorMessage="1" errorTitle="Resposta inválida" error="Selecione apenas SIM ou NÃO." sqref="F13">
      <formula1>"SIM,NÃO"</formula1>
    </dataValidation>
    <dataValidation type="list" allowBlank="1" showInputMessage="1" showErrorMessage="1" errorTitle="Resposta inválida" error="Selecione apenas SIM ou NÃO." sqref="F14">
      <formula1>"SIM,NÃO"</formula1>
    </dataValidation>
    <dataValidation type="list" allowBlank="1" showInputMessage="1" showErrorMessage="1" errorTitle="Resposta inválida" error="Selecione apenas SIM ou NÃO." sqref="F21">
      <formula1>"SIM,NÃO"</formula1>
    </dataValidation>
    <dataValidation type="list" allowBlank="1" showInputMessage="1" showErrorMessage="1" errorTitle="Resposta inválida" error="Selecione apenas SIM ou NÃO." sqref="F22">
      <formula1>"SIM,NÃO"</formula1>
    </dataValidation>
    <dataValidation type="list" allowBlank="1" showInputMessage="1" showErrorMessage="1" errorTitle="Resposta inválida" error="Selecione apenas SIM ou NÃO." sqref="F23">
      <formula1>"SIM,NÃO"</formula1>
    </dataValidation>
    <dataValidation type="list" allowBlank="1" showInputMessage="1" showErrorMessage="1" errorTitle="Resposta inválida" error="Selecione apenas SIM ou NÃO." sqref="F30">
      <formula1>"SIM,NÃO"</formula1>
    </dataValidation>
    <dataValidation type="list" allowBlank="1" showInputMessage="1" showErrorMessage="1" errorTitle="Resposta inválida" error="Selecione apenas SIM ou NÃO." sqref="F31">
      <formula1>"SIM,NÃO"</formula1>
    </dataValidation>
    <dataValidation type="list" allowBlank="1" showInputMessage="1" showErrorMessage="1" errorTitle="Resposta inválida" error="Selecione apenas SIM ou NÃO." sqref="F38">
      <formula1>"SIM,NÃO"</formula1>
    </dataValidation>
    <dataValidation type="list" allowBlank="1" showInputMessage="1" showErrorMessage="1" errorTitle="Resposta inválida" error="Selecione apenas SIM ou NÃO." sqref="F39">
      <formula1>"SIM,NÃO"</formula1>
    </dataValidation>
    <dataValidation type="list" allowBlank="1" showInputMessage="1" showErrorMessage="1" errorTitle="Resposta inválida" error="Selecione apenas SIM ou NÃO." sqref="F46">
      <formula1>"SIM,NÃO"</formula1>
    </dataValidation>
    <dataValidation type="list" allowBlank="1" showInputMessage="1" showErrorMessage="1" errorTitle="Resposta inválida" error="Selecione apenas SIM ou NÃO." sqref="F47">
      <formula1>"SIM,NÃO"</formula1>
    </dataValidation>
    <dataValidation type="list" allowBlank="1" showInputMessage="1" showErrorMessage="1" errorTitle="Resposta inválida" error="Selecione apenas SIM ou NÃO." sqref="F54">
      <formula1>"SIM,NÃO"</formula1>
    </dataValidation>
    <dataValidation type="list" allowBlank="1" showInputMessage="1" showErrorMessage="1" errorTitle="Resposta inválida" error="Selecione apenas SIM ou NÃO." sqref="F55">
      <formula1>"SIM,NÃO"</formula1>
    </dataValidation>
    <dataValidation type="list" allowBlank="1" showInputMessage="1" showErrorMessage="1" errorTitle="Resposta inválida" error="Selecione apenas SIM ou NÃO." sqref="F62">
      <formula1>"SIM,NÃO"</formula1>
    </dataValidation>
    <dataValidation type="list" allowBlank="1" showInputMessage="1" showErrorMessage="1" errorTitle="Resposta inválida" error="Selecione apenas SIM ou NÃO." sqref="F63">
      <formula1>"SIM,NÃO"</formula1>
    </dataValidation>
    <dataValidation type="list" allowBlank="1" showInputMessage="1" showErrorMessage="1" errorTitle="Resposta inválida" error="Selecione apenas SIM ou NÃO." sqref="F64">
      <formula1>"SIM,NÃO"</formula1>
    </dataValidation>
    <dataValidation type="list" allowBlank="1" showInputMessage="1" showErrorMessage="1" errorTitle="Resposta inválida" error="Selecione apenas SIM ou NÃO." sqref="F65">
      <formula1>"SIM,NÃO"</formula1>
    </dataValidation>
    <dataValidation type="list" allowBlank="1" showInputMessage="1" showErrorMessage="1" errorTitle="Resposta inválida" error="Selecione apenas SIM ou NÃO." sqref="F66">
      <formula1>"SIM,NÃO"</formula1>
    </dataValidation>
    <dataValidation type="list" allowBlank="1" showInputMessage="1" showErrorMessage="1" errorTitle="Resposta inválida" error="Selecione apenas SIM ou NÃO." sqref="F73">
      <formula1>"SIM,NÃO"</formula1>
    </dataValidation>
    <dataValidation type="list" allowBlank="1" showInputMessage="1" showErrorMessage="1" errorTitle="Resposta inválida" error="Selecione apenas SIM ou NÃO." sqref="F74">
      <formula1>"SIM,NÃO"</formula1>
    </dataValidation>
    <dataValidation type="list" allowBlank="1" showInputMessage="1" showErrorMessage="1" errorTitle="Resposta inválida" error="Selecione apenas SIM ou NÃO." sqref="F75">
      <formula1>"SIM,NÃO"</formula1>
    </dataValidation>
    <dataValidation type="list" allowBlank="1" showInputMessage="1" showErrorMessage="1" errorTitle="Resposta inválida" error="Selecione apenas SIM ou NÃO." sqref="F82">
      <formula1>"SIM,NÃO"</formula1>
    </dataValidation>
    <dataValidation type="list" allowBlank="1" showInputMessage="1" showErrorMessage="1" errorTitle="Resposta inválida" error="Selecione apenas SIM ou NÃO." sqref="F83">
      <formula1>"SIM,NÃO"</formula1>
    </dataValidation>
    <dataValidation type="list" allowBlank="1" showInputMessage="1" showErrorMessage="1" errorTitle="Resposta inválida" error="Selecione apenas SIM ou NÃO." sqref="F84">
      <formula1>"SIM,NÃO"</formula1>
    </dataValidation>
    <dataValidation type="list" allowBlank="1" showInputMessage="1" showErrorMessage="1" errorTitle="Resposta inválida" error="Selecione apenas SIM ou NÃO." sqref="F91">
      <formula1>"SIM,NÃO"</formula1>
    </dataValidation>
    <dataValidation type="list" allowBlank="1" showInputMessage="1" showErrorMessage="1" errorTitle="Resposta inválida" error="Selecione apenas SIM ou NÃO." sqref="F92">
      <formula1>"SIM,NÃO"</formula1>
    </dataValidation>
    <dataValidation type="list" allowBlank="1" showInputMessage="1" showErrorMessage="1" errorTitle="Resposta inválida" error="Selecione apenas SIM ou NÃO." sqref="F99">
      <formula1>"SIM,NÃO"</formula1>
    </dataValidation>
    <dataValidation type="list" allowBlank="1" showInputMessage="1" showErrorMessage="1" errorTitle="Resposta inválida" error="Selecione apenas SIM ou NÃO." sqref="F106">
      <formula1>"SIM,NÃO"</formula1>
    </dataValidation>
    <dataValidation type="list" allowBlank="1" showInputMessage="1" showErrorMessage="1" errorTitle="Resposta inválida" error="Selecione apenas SIM ou NÃO." sqref="F107">
      <formula1>"SIM,NÃO"</formula1>
    </dataValidation>
    <dataValidation type="list" allowBlank="1" showInputMessage="1" showErrorMessage="1" errorTitle="Resposta inválida" error="Selecione apenas SIM ou NÃO." sqref="F108">
      <formula1>"SIM,NÃO"</formula1>
    </dataValidation>
  </dataValidations>
  <printOptions horizontalCentered="1"/>
  <pageMargins left="0.25" right="0.25" top="0.4" bottom="0.4" header="0.5" footer="0.5"/>
  <pageSetup scale="81" fitToHeight="0" orientation="portrait" r:id="rId1"/>
  <headerFooter>
    <oddFooter>&amp;CPágina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5" baseType="lpstr">
      <vt:lpstr>FORM</vt:lpstr>
      <vt:lpstr>FORM!Area_de_impressao</vt:lpstr>
      <vt:lpstr>FORM_COEFICIENTES</vt:lpstr>
      <vt:lpstr>FORM_PARECERES</vt:lpstr>
      <vt:lpstr>FORM_RESPOSTAS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2026-07-21T21:19:02Z</dcterms:created>
  <dcterms:modified xsi:type="dcterms:W3CDTF">2026-08-07T12:35:04Z</dcterms:modified>
</cp:coreProperties>
</file>