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MPRESAS\BONSONO (INDUSTRIA ALAGOANA DE COLCHOES E ESPUMA LTDA)\AUDITORIA\LEVANTAMENTO CRÉDITO DE PIS-COFINS PERIODOS ANTERIORES\NOTAS FISCAIS\"/>
    </mc:Choice>
  </mc:AlternateContent>
  <bookViews>
    <workbookView xWindow="28680" yWindow="-120" windowWidth="29040" windowHeight="1572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61" i="1" l="1"/>
  <c r="Z60" i="1"/>
</calcChain>
</file>

<file path=xl/sharedStrings.xml><?xml version="1.0" encoding="utf-8"?>
<sst xmlns="http://schemas.openxmlformats.org/spreadsheetml/2006/main" count="814" uniqueCount="185">
  <si>
    <t>CNPJ</t>
  </si>
  <si>
    <t>Período</t>
  </si>
  <si>
    <t>Tipo Operação</t>
  </si>
  <si>
    <t>Indicador Emitente</t>
  </si>
  <si>
    <t>Número Documento</t>
  </si>
  <si>
    <t>Situação</t>
  </si>
  <si>
    <t>Chave CT-e</t>
  </si>
  <si>
    <t>Data Documento</t>
  </si>
  <si>
    <t>Data Entrada</t>
  </si>
  <si>
    <t>CNPJ Participante</t>
  </si>
  <si>
    <t>CPF Participante</t>
  </si>
  <si>
    <t>Nome Participante</t>
  </si>
  <si>
    <t>CFOP</t>
  </si>
  <si>
    <t>Descrição CFOP</t>
  </si>
  <si>
    <t>Valor Item</t>
  </si>
  <si>
    <t>CST ICMS</t>
  </si>
  <si>
    <t>Base de Cálculo ICMS</t>
  </si>
  <si>
    <t>Alíquota ICMS</t>
  </si>
  <si>
    <t>Valor ICMS</t>
  </si>
  <si>
    <t>Base de Cálculo PIS</t>
  </si>
  <si>
    <t>Alíquota PIS</t>
  </si>
  <si>
    <t>Valor PIS</t>
  </si>
  <si>
    <t>Base de Cálculo COFINS</t>
  </si>
  <si>
    <t>Alíquota COFINS</t>
  </si>
  <si>
    <t>Valor COFINS</t>
  </si>
  <si>
    <t>Fretes Não Escriturados</t>
  </si>
  <si>
    <t>Possível oportunidade</t>
  </si>
  <si>
    <t>Validação</t>
  </si>
  <si>
    <t>11188276000161</t>
  </si>
  <si>
    <t>0 - Aquisição</t>
  </si>
  <si>
    <t>1 - Terceiros</t>
  </si>
  <si>
    <t>92</t>
  </si>
  <si>
    <t>00</t>
  </si>
  <si>
    <t>41220302533468000258570020000000921000009293</t>
  </si>
  <si>
    <t>02533468000258</t>
  </si>
  <si>
    <t/>
  </si>
  <si>
    <t>GR TRANSPORTES E LOGISTICA DO BRASIL</t>
  </si>
  <si>
    <t>2353</t>
  </si>
  <si>
    <t>Aquisição de serviço de transporte por estabelecimento comercial</t>
  </si>
  <si>
    <t>7</t>
  </si>
  <si>
    <t>consta_somente_efdf</t>
  </si>
  <si>
    <t>8454</t>
  </si>
  <si>
    <t>43210305651080000169570010000084541001084546</t>
  </si>
  <si>
    <t>05651080000169</t>
  </si>
  <si>
    <t>RENOVARE TRANSPORTES EIRELI</t>
  </si>
  <si>
    <t>2352</t>
  </si>
  <si>
    <t>Aquisição de serviço de transporte por estabelecimento Indústrial</t>
  </si>
  <si>
    <t>0</t>
  </si>
  <si>
    <t>8467</t>
  </si>
  <si>
    <t>43210305651080000169570010000084671001084676</t>
  </si>
  <si>
    <t>8479</t>
  </si>
  <si>
    <t>43210305651080000169570010000084791001084790</t>
  </si>
  <si>
    <t>8481</t>
  </si>
  <si>
    <t>43210305651080000169570010000084811001084810</t>
  </si>
  <si>
    <t>87206</t>
  </si>
  <si>
    <t>42220102427026000901570040000872061008720694</t>
  </si>
  <si>
    <t>02427026000901</t>
  </si>
  <si>
    <t>ALIANCA NAVEGACAO E LOGISTICA LTDA.</t>
  </si>
  <si>
    <t>8172</t>
  </si>
  <si>
    <t>43210105651080000169570010000081721001081720</t>
  </si>
  <si>
    <t>90</t>
  </si>
  <si>
    <t>8241</t>
  </si>
  <si>
    <t>43210105651080000169570010000082411001082415</t>
  </si>
  <si>
    <t>8401</t>
  </si>
  <si>
    <t>43210305651080000169570010000084011001084011</t>
  </si>
  <si>
    <t>118425</t>
  </si>
  <si>
    <t>35220808853605000218570020001184251005280222</t>
  </si>
  <si>
    <t>08853605000218</t>
  </si>
  <si>
    <t>TAL - TRANSPORTE ALAGOANO LTDA</t>
  </si>
  <si>
    <t>27917</t>
  </si>
  <si>
    <t>33210802042295000194570000000279171000825036</t>
  </si>
  <si>
    <t>02042295000194</t>
  </si>
  <si>
    <t>TRANSPOLLI PORTO REAL TRANSPORTES LTDA</t>
  </si>
  <si>
    <t>102652</t>
  </si>
  <si>
    <t>35210808853605000218570020001026521005010107</t>
  </si>
  <si>
    <t>263229</t>
  </si>
  <si>
    <t>27220108853605000137570010002632291005181216</t>
  </si>
  <si>
    <t>08853605000137</t>
  </si>
  <si>
    <t>TAL TRANSPORTE ALAGOANA LTDA</t>
  </si>
  <si>
    <t>96224</t>
  </si>
  <si>
    <t>35210308853605000218570020000962241003934925</t>
  </si>
  <si>
    <t>104367</t>
  </si>
  <si>
    <t>35210908853605000218570020001043671005089667</t>
  </si>
  <si>
    <t>126791</t>
  </si>
  <si>
    <t>35230108853605000218570020001267911006213734</t>
  </si>
  <si>
    <t>3190</t>
  </si>
  <si>
    <t>27221121934388000178570110000031901000730448</t>
  </si>
  <si>
    <t>21934388000178</t>
  </si>
  <si>
    <t>FLEXLOG TRANSPORTE EIRELLI - ME</t>
  </si>
  <si>
    <t>109936</t>
  </si>
  <si>
    <t>35220208853605000218570020001099361005185955</t>
  </si>
  <si>
    <t>264046</t>
  </si>
  <si>
    <t>27220508853605000137570010002640461005243660</t>
  </si>
  <si>
    <t>109945</t>
  </si>
  <si>
    <t>35220208853605000218570020001099451005186047</t>
  </si>
  <si>
    <t>94149</t>
  </si>
  <si>
    <t>35210108853605000218570020000941491003643685</t>
  </si>
  <si>
    <t>4169135</t>
  </si>
  <si>
    <t>35211209296295000240570030041691351196142915</t>
  </si>
  <si>
    <t>09296295000240</t>
  </si>
  <si>
    <t>AZUL LINHAS AEREAS BRASILEIRAS S.A</t>
  </si>
  <si>
    <t>407774</t>
  </si>
  <si>
    <t>43211193561108000134570000004077741925261526</t>
  </si>
  <si>
    <t>93561108000134</t>
  </si>
  <si>
    <t>VINHEDOS TRANSPORTES LTDA</t>
  </si>
  <si>
    <t>3189</t>
  </si>
  <si>
    <t>27221121934388000178570110000031891000730439</t>
  </si>
  <si>
    <t>21156</t>
  </si>
  <si>
    <t>27230104208610000136570010000211561003286381</t>
  </si>
  <si>
    <t>04208610000136</t>
  </si>
  <si>
    <t>CENTRAL FELIX LOGÍSTICA E TRANSPORTES LTDA</t>
  </si>
  <si>
    <t>17</t>
  </si>
  <si>
    <t>116690</t>
  </si>
  <si>
    <t>35220708853605000218570020001166901005262310</t>
  </si>
  <si>
    <t>11188276001800</t>
  </si>
  <si>
    <t>59028</t>
  </si>
  <si>
    <t>28231035044555000110570010000590281001693504</t>
  </si>
  <si>
    <t>35044555000110</t>
  </si>
  <si>
    <t>P E P TRANSPORTES E LOGISTICA LTDA</t>
  </si>
  <si>
    <t>116583</t>
  </si>
  <si>
    <t>35220708853605000218570020001165831005261151</t>
  </si>
  <si>
    <t>112125</t>
  </si>
  <si>
    <t>35220308853605000218570020001121251005211350</t>
  </si>
  <si>
    <t>120947</t>
  </si>
  <si>
    <t>35220908853605000218570020001209471005307606</t>
  </si>
  <si>
    <t>127058</t>
  </si>
  <si>
    <t>35230208853605000218570020001270581006216526</t>
  </si>
  <si>
    <t>120126</t>
  </si>
  <si>
    <t>35220908853605000218570020001201261005297887</t>
  </si>
  <si>
    <t>107114</t>
  </si>
  <si>
    <t>35211108853605000218570020001071141005153619</t>
  </si>
  <si>
    <t>98485</t>
  </si>
  <si>
    <t>35210508853605000218570020000984851004394072</t>
  </si>
  <si>
    <t>115864</t>
  </si>
  <si>
    <t>35220608853605000218570020001158641005253500</t>
  </si>
  <si>
    <t>1828764</t>
  </si>
  <si>
    <t>41220248740351003695570000018287641414817773</t>
  </si>
  <si>
    <t>48740351003695</t>
  </si>
  <si>
    <t>BRASPRESS TRANSPORTES URGENTES LTDA</t>
  </si>
  <si>
    <t>59027</t>
  </si>
  <si>
    <t>28231035044555000110570010000590271001693493</t>
  </si>
  <si>
    <t>95209</t>
  </si>
  <si>
    <t>35210208853605000218570020000952091003761546</t>
  </si>
  <si>
    <t>475115</t>
  </si>
  <si>
    <t>41210709296295000402570030004751151740099138</t>
  </si>
  <si>
    <t>09296295000402</t>
  </si>
  <si>
    <t>AZUL LINHAS AEREAS BRASILEIRAS S.A.</t>
  </si>
  <si>
    <t>111451</t>
  </si>
  <si>
    <t>35220308853605000218570020001114511005203589</t>
  </si>
  <si>
    <t>100237</t>
  </si>
  <si>
    <t>35210608853605000218570020001002371004708556</t>
  </si>
  <si>
    <t>1878183</t>
  </si>
  <si>
    <t>41220348740351003695570000018781831880039610</t>
  </si>
  <si>
    <t>100009</t>
  </si>
  <si>
    <t>35210608853605000218570020001000091004659010</t>
  </si>
  <si>
    <t>121327</t>
  </si>
  <si>
    <t>35221008853605000218570020001213271005312382</t>
  </si>
  <si>
    <t>5013748</t>
  </si>
  <si>
    <t>35221048740351011523570000050137481750579350</t>
  </si>
  <si>
    <t>48740351011523</t>
  </si>
  <si>
    <t>BRASPRESS TRANSPORTES URGENTES</t>
  </si>
  <si>
    <t>115210</t>
  </si>
  <si>
    <t>35220608853605000218570020001152101005246461</t>
  </si>
  <si>
    <t>104190</t>
  </si>
  <si>
    <t>35210908853605000218570020001041901005085014</t>
  </si>
  <si>
    <t>111695</t>
  </si>
  <si>
    <t>35220308853605000218570020001116951005206460</t>
  </si>
  <si>
    <t>112362</t>
  </si>
  <si>
    <t>35220308853605000218570020001123621005214753</t>
  </si>
  <si>
    <t>354990</t>
  </si>
  <si>
    <t>35210114834939000166570020003549901003714351</t>
  </si>
  <si>
    <t>14834939000166</t>
  </si>
  <si>
    <t>WRJ TRANSPORTE E LOGISTICA</t>
  </si>
  <si>
    <t>144100</t>
  </si>
  <si>
    <t>35240208853605000218570020001441001007425456</t>
  </si>
  <si>
    <t>144862</t>
  </si>
  <si>
    <t>35240208853605000218570020001448621007480342</t>
  </si>
  <si>
    <t>151927</t>
  </si>
  <si>
    <t>35240808853605000218570020001519271007995693</t>
  </si>
  <si>
    <t>152888</t>
  </si>
  <si>
    <t>35240808853605000218570020001528881008054277</t>
  </si>
  <si>
    <t>160966</t>
  </si>
  <si>
    <t>35250208853605000218570020001609661008601491</t>
  </si>
  <si>
    <t>Total</t>
  </si>
  <si>
    <t>Filtros aplicados:
validacao_sped é consta_somente_efdf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</si>
</sst>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1"/>
  <sheetViews>
    <sheetView tabSelected="1" workbookViewId="0">
      <selection activeCell="G2" sqref="G2"/>
    </sheetView>
  </sheetViews>
  <sheetFormatPr defaultRowHeight="15"/>
  <cols>
    <col min="1" max="1" width="52.140625" bestFit="1" customWidth="1"/>
    <col min="2" max="2" width="10.7109375" bestFit="1" customWidth="1"/>
    <col min="3" max="3" width="13.85546875" bestFit="1" customWidth="1"/>
    <col min="4" max="4" width="18.140625" bestFit="1" customWidth="1"/>
    <col min="5" max="5" width="19.28515625" bestFit="1" customWidth="1"/>
    <col min="6" max="6" width="8.42578125" bestFit="1" customWidth="1"/>
    <col min="7" max="7" width="46.28515625" bestFit="1" customWidth="1"/>
    <col min="8" max="8" width="15.85546875" bestFit="1" customWidth="1"/>
    <col min="9" max="9" width="12.140625" bestFit="1" customWidth="1"/>
    <col min="13" max="13" width="5.7109375" bestFit="1" customWidth="1"/>
    <col min="14" max="14" width="61" bestFit="1" customWidth="1"/>
    <col min="15" max="15" width="10.28515625" bestFit="1" customWidth="1"/>
    <col min="16" max="16" width="9" bestFit="1" customWidth="1"/>
    <col min="17" max="17" width="19.85546875" bestFit="1" customWidth="1"/>
    <col min="18" max="18" width="13.42578125" bestFit="1" customWidth="1"/>
    <col min="19" max="19" width="10.5703125" bestFit="1" customWidth="1"/>
    <col min="20" max="20" width="18.140625" bestFit="1" customWidth="1"/>
    <col min="21" max="21" width="11.5703125" bestFit="1" customWidth="1"/>
    <col min="22" max="22" width="8.85546875" bestFit="1" customWidth="1"/>
    <col min="23" max="23" width="22.140625" bestFit="1" customWidth="1"/>
    <col min="24" max="24" width="15.5703125" bestFit="1" customWidth="1"/>
    <col min="25" max="25" width="12.7109375" bestFit="1" customWidth="1"/>
    <col min="26" max="26" width="22.140625" bestFit="1" customWidth="1"/>
    <col min="27" max="27" width="21" bestFit="1" customWidth="1"/>
    <col min="28" max="28" width="20.5703125" bestFit="1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>
      <c r="A2" t="s">
        <v>28</v>
      </c>
      <c r="B2" s="3">
        <v>44621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s="3">
        <v>44631</v>
      </c>
      <c r="I2" s="3">
        <v>44631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22780</v>
      </c>
      <c r="P2" t="s">
        <v>32</v>
      </c>
      <c r="Q2">
        <v>22780</v>
      </c>
      <c r="R2" t="s">
        <v>39</v>
      </c>
      <c r="S2">
        <v>1594.6</v>
      </c>
      <c r="T2">
        <v>0</v>
      </c>
      <c r="V2">
        <v>0</v>
      </c>
      <c r="W2">
        <v>0</v>
      </c>
      <c r="Y2">
        <v>0</v>
      </c>
      <c r="Z2">
        <v>22780</v>
      </c>
      <c r="AA2">
        <v>2107.15</v>
      </c>
      <c r="AB2" t="s">
        <v>40</v>
      </c>
    </row>
    <row r="3" spans="1:28">
      <c r="A3" t="s">
        <v>28</v>
      </c>
      <c r="B3" s="3">
        <v>44256</v>
      </c>
      <c r="C3" t="s">
        <v>29</v>
      </c>
      <c r="D3" t="s">
        <v>30</v>
      </c>
      <c r="E3" t="s">
        <v>41</v>
      </c>
      <c r="F3" t="s">
        <v>32</v>
      </c>
      <c r="G3" t="s">
        <v>42</v>
      </c>
      <c r="H3" s="3">
        <v>44271</v>
      </c>
      <c r="I3" s="3">
        <v>44284</v>
      </c>
      <c r="J3" t="s">
        <v>43</v>
      </c>
      <c r="K3" t="s">
        <v>35</v>
      </c>
      <c r="L3" t="s">
        <v>44</v>
      </c>
      <c r="M3" t="s">
        <v>45</v>
      </c>
      <c r="N3" t="s">
        <v>46</v>
      </c>
      <c r="O3">
        <v>17500</v>
      </c>
      <c r="P3" t="s">
        <v>32</v>
      </c>
      <c r="Q3">
        <v>0</v>
      </c>
      <c r="R3" t="s">
        <v>47</v>
      </c>
      <c r="S3">
        <v>0</v>
      </c>
      <c r="T3">
        <v>0</v>
      </c>
      <c r="V3">
        <v>0</v>
      </c>
      <c r="W3">
        <v>0</v>
      </c>
      <c r="Y3">
        <v>0</v>
      </c>
      <c r="Z3">
        <v>17500</v>
      </c>
      <c r="AA3">
        <v>1618.75</v>
      </c>
      <c r="AB3" t="s">
        <v>40</v>
      </c>
    </row>
    <row r="4" spans="1:28">
      <c r="A4" t="s">
        <v>28</v>
      </c>
      <c r="B4" s="3">
        <v>44256</v>
      </c>
      <c r="C4" t="s">
        <v>29</v>
      </c>
      <c r="D4" t="s">
        <v>30</v>
      </c>
      <c r="E4" t="s">
        <v>48</v>
      </c>
      <c r="F4" t="s">
        <v>32</v>
      </c>
      <c r="G4" t="s">
        <v>49</v>
      </c>
      <c r="H4" s="3">
        <v>44274</v>
      </c>
      <c r="I4" s="3">
        <v>44285</v>
      </c>
      <c r="J4" t="s">
        <v>43</v>
      </c>
      <c r="K4" t="s">
        <v>35</v>
      </c>
      <c r="L4" t="s">
        <v>44</v>
      </c>
      <c r="M4" t="s">
        <v>45</v>
      </c>
      <c r="N4" t="s">
        <v>46</v>
      </c>
      <c r="O4">
        <v>16500</v>
      </c>
      <c r="P4" t="s">
        <v>32</v>
      </c>
      <c r="Q4">
        <v>0</v>
      </c>
      <c r="R4" t="s">
        <v>47</v>
      </c>
      <c r="S4">
        <v>0</v>
      </c>
      <c r="T4">
        <v>0</v>
      </c>
      <c r="V4">
        <v>0</v>
      </c>
      <c r="W4">
        <v>0</v>
      </c>
      <c r="Y4">
        <v>0</v>
      </c>
      <c r="Z4">
        <v>16500</v>
      </c>
      <c r="AA4">
        <v>1526.25</v>
      </c>
      <c r="AB4" t="s">
        <v>40</v>
      </c>
    </row>
    <row r="5" spans="1:28">
      <c r="A5" t="s">
        <v>28</v>
      </c>
      <c r="B5" s="3">
        <v>44256</v>
      </c>
      <c r="C5" t="s">
        <v>29</v>
      </c>
      <c r="D5" t="s">
        <v>30</v>
      </c>
      <c r="E5" t="s">
        <v>50</v>
      </c>
      <c r="F5" t="s">
        <v>32</v>
      </c>
      <c r="G5" t="s">
        <v>51</v>
      </c>
      <c r="H5" s="3">
        <v>44275</v>
      </c>
      <c r="I5" s="3">
        <v>44285</v>
      </c>
      <c r="J5" t="s">
        <v>43</v>
      </c>
      <c r="K5" t="s">
        <v>35</v>
      </c>
      <c r="L5" t="s">
        <v>44</v>
      </c>
      <c r="M5" t="s">
        <v>45</v>
      </c>
      <c r="N5" t="s">
        <v>46</v>
      </c>
      <c r="O5">
        <v>16500</v>
      </c>
      <c r="P5" t="s">
        <v>32</v>
      </c>
      <c r="Q5">
        <v>0</v>
      </c>
      <c r="R5" t="s">
        <v>47</v>
      </c>
      <c r="S5">
        <v>0</v>
      </c>
      <c r="T5">
        <v>0</v>
      </c>
      <c r="V5">
        <v>0</v>
      </c>
      <c r="W5">
        <v>0</v>
      </c>
      <c r="Y5">
        <v>0</v>
      </c>
      <c r="Z5">
        <v>16500</v>
      </c>
      <c r="AA5">
        <v>1526.25</v>
      </c>
      <c r="AB5" t="s">
        <v>40</v>
      </c>
    </row>
    <row r="6" spans="1:28">
      <c r="A6" t="s">
        <v>28</v>
      </c>
      <c r="B6" s="3">
        <v>44256</v>
      </c>
      <c r="C6" t="s">
        <v>29</v>
      </c>
      <c r="D6" t="s">
        <v>30</v>
      </c>
      <c r="E6" t="s">
        <v>52</v>
      </c>
      <c r="F6" t="s">
        <v>32</v>
      </c>
      <c r="G6" t="s">
        <v>53</v>
      </c>
      <c r="H6" s="3">
        <v>44277</v>
      </c>
      <c r="I6" s="3">
        <v>44285</v>
      </c>
      <c r="J6" t="s">
        <v>43</v>
      </c>
      <c r="K6" t="s">
        <v>35</v>
      </c>
      <c r="L6" t="s">
        <v>44</v>
      </c>
      <c r="M6" t="s">
        <v>45</v>
      </c>
      <c r="N6" t="s">
        <v>46</v>
      </c>
      <c r="O6">
        <v>16500</v>
      </c>
      <c r="P6" t="s">
        <v>32</v>
      </c>
      <c r="Q6">
        <v>0</v>
      </c>
      <c r="R6" t="s">
        <v>47</v>
      </c>
      <c r="S6">
        <v>0</v>
      </c>
      <c r="T6">
        <v>0</v>
      </c>
      <c r="V6">
        <v>0</v>
      </c>
      <c r="W6">
        <v>0</v>
      </c>
      <c r="Y6">
        <v>0</v>
      </c>
      <c r="Z6">
        <v>16500</v>
      </c>
      <c r="AA6">
        <v>1526.25</v>
      </c>
      <c r="AB6" t="s">
        <v>40</v>
      </c>
    </row>
    <row r="7" spans="1:28">
      <c r="A7" t="s">
        <v>28</v>
      </c>
      <c r="B7" s="3">
        <v>44593</v>
      </c>
      <c r="C7" t="s">
        <v>29</v>
      </c>
      <c r="D7" t="s">
        <v>30</v>
      </c>
      <c r="E7" t="s">
        <v>54</v>
      </c>
      <c r="F7" t="s">
        <v>32</v>
      </c>
      <c r="G7" t="s">
        <v>55</v>
      </c>
      <c r="H7" s="3">
        <v>44573</v>
      </c>
      <c r="I7" s="3">
        <v>44593</v>
      </c>
      <c r="J7" t="s">
        <v>56</v>
      </c>
      <c r="K7" t="s">
        <v>35</v>
      </c>
      <c r="L7" t="s">
        <v>57</v>
      </c>
      <c r="M7" t="s">
        <v>37</v>
      </c>
      <c r="N7" t="s">
        <v>38</v>
      </c>
      <c r="O7">
        <v>16051.81</v>
      </c>
      <c r="P7" t="s">
        <v>32</v>
      </c>
      <c r="Q7">
        <v>16051.81</v>
      </c>
      <c r="R7" t="s">
        <v>39</v>
      </c>
      <c r="S7">
        <v>1123.6300000000001</v>
      </c>
      <c r="T7">
        <v>0</v>
      </c>
      <c r="V7">
        <v>0</v>
      </c>
      <c r="W7">
        <v>0</v>
      </c>
      <c r="Y7">
        <v>0</v>
      </c>
      <c r="Z7">
        <v>16051.81</v>
      </c>
      <c r="AA7">
        <v>1484.7924249999999</v>
      </c>
      <c r="AB7" t="s">
        <v>40</v>
      </c>
    </row>
    <row r="8" spans="1:28">
      <c r="A8" t="s">
        <v>28</v>
      </c>
      <c r="B8" s="3">
        <v>44228</v>
      </c>
      <c r="C8" t="s">
        <v>29</v>
      </c>
      <c r="D8" t="s">
        <v>30</v>
      </c>
      <c r="E8" t="s">
        <v>58</v>
      </c>
      <c r="F8" t="s">
        <v>32</v>
      </c>
      <c r="G8" t="s">
        <v>59</v>
      </c>
      <c r="H8" s="3">
        <v>44209</v>
      </c>
      <c r="I8" s="3">
        <v>44238</v>
      </c>
      <c r="J8" t="s">
        <v>43</v>
      </c>
      <c r="K8" t="s">
        <v>35</v>
      </c>
      <c r="L8" t="s">
        <v>44</v>
      </c>
      <c r="M8" t="s">
        <v>45</v>
      </c>
      <c r="N8" t="s">
        <v>46</v>
      </c>
      <c r="O8">
        <v>15000</v>
      </c>
      <c r="P8" t="s">
        <v>60</v>
      </c>
      <c r="Q8">
        <v>0</v>
      </c>
      <c r="R8" t="s">
        <v>47</v>
      </c>
      <c r="S8">
        <v>0</v>
      </c>
      <c r="T8">
        <v>0</v>
      </c>
      <c r="V8">
        <v>0</v>
      </c>
      <c r="W8">
        <v>0</v>
      </c>
      <c r="Y8">
        <v>0</v>
      </c>
      <c r="Z8">
        <v>15000</v>
      </c>
      <c r="AA8">
        <v>1387.5</v>
      </c>
      <c r="AB8" t="s">
        <v>40</v>
      </c>
    </row>
    <row r="9" spans="1:28">
      <c r="A9" t="s">
        <v>28</v>
      </c>
      <c r="B9" s="3">
        <v>44228</v>
      </c>
      <c r="C9" t="s">
        <v>29</v>
      </c>
      <c r="D9" t="s">
        <v>30</v>
      </c>
      <c r="E9" t="s">
        <v>61</v>
      </c>
      <c r="F9" t="s">
        <v>32</v>
      </c>
      <c r="G9" t="s">
        <v>62</v>
      </c>
      <c r="H9" s="3">
        <v>44223</v>
      </c>
      <c r="I9" s="3">
        <v>44230</v>
      </c>
      <c r="J9" t="s">
        <v>43</v>
      </c>
      <c r="K9" t="s">
        <v>35</v>
      </c>
      <c r="L9" t="s">
        <v>44</v>
      </c>
      <c r="M9" t="s">
        <v>45</v>
      </c>
      <c r="N9" t="s">
        <v>46</v>
      </c>
      <c r="O9">
        <v>15000</v>
      </c>
      <c r="P9" t="s">
        <v>60</v>
      </c>
      <c r="Q9">
        <v>0</v>
      </c>
      <c r="R9" t="s">
        <v>47</v>
      </c>
      <c r="S9">
        <v>0</v>
      </c>
      <c r="T9">
        <v>0</v>
      </c>
      <c r="V9">
        <v>0</v>
      </c>
      <c r="W9">
        <v>0</v>
      </c>
      <c r="Y9">
        <v>0</v>
      </c>
      <c r="Z9">
        <v>15000</v>
      </c>
      <c r="AA9">
        <v>1387.5</v>
      </c>
      <c r="AB9" t="s">
        <v>40</v>
      </c>
    </row>
    <row r="10" spans="1:28">
      <c r="A10" t="s">
        <v>28</v>
      </c>
      <c r="B10" s="3">
        <v>44256</v>
      </c>
      <c r="C10" t="s">
        <v>29</v>
      </c>
      <c r="D10" t="s">
        <v>30</v>
      </c>
      <c r="E10" t="s">
        <v>63</v>
      </c>
      <c r="F10" t="s">
        <v>32</v>
      </c>
      <c r="G10" t="s">
        <v>64</v>
      </c>
      <c r="H10" s="3">
        <v>44258</v>
      </c>
      <c r="I10" s="3">
        <v>44264</v>
      </c>
      <c r="J10" t="s">
        <v>43</v>
      </c>
      <c r="K10" t="s">
        <v>35</v>
      </c>
      <c r="L10" t="s">
        <v>44</v>
      </c>
      <c r="M10" t="s">
        <v>45</v>
      </c>
      <c r="N10" t="s">
        <v>46</v>
      </c>
      <c r="O10">
        <v>15000</v>
      </c>
      <c r="P10" t="s">
        <v>60</v>
      </c>
      <c r="Q10">
        <v>0</v>
      </c>
      <c r="R10" t="s">
        <v>47</v>
      </c>
      <c r="S10">
        <v>0</v>
      </c>
      <c r="T10">
        <v>0</v>
      </c>
      <c r="V10">
        <v>0</v>
      </c>
      <c r="W10">
        <v>0</v>
      </c>
      <c r="Y10">
        <v>0</v>
      </c>
      <c r="Z10">
        <v>15000</v>
      </c>
      <c r="AA10">
        <v>1387.5</v>
      </c>
      <c r="AB10" t="s">
        <v>40</v>
      </c>
    </row>
    <row r="11" spans="1:28">
      <c r="A11" t="s">
        <v>28</v>
      </c>
      <c r="B11" s="3">
        <v>44774</v>
      </c>
      <c r="C11" t="s">
        <v>29</v>
      </c>
      <c r="D11" t="s">
        <v>30</v>
      </c>
      <c r="E11" t="s">
        <v>65</v>
      </c>
      <c r="F11" t="s">
        <v>32</v>
      </c>
      <c r="G11" t="s">
        <v>66</v>
      </c>
      <c r="H11" s="3">
        <v>44785</v>
      </c>
      <c r="I11" s="3">
        <v>44795</v>
      </c>
      <c r="J11" t="s">
        <v>67</v>
      </c>
      <c r="K11" t="s">
        <v>35</v>
      </c>
      <c r="L11" t="s">
        <v>68</v>
      </c>
      <c r="M11" t="s">
        <v>45</v>
      </c>
      <c r="N11" t="s">
        <v>46</v>
      </c>
      <c r="O11">
        <v>5350</v>
      </c>
      <c r="P11" t="s">
        <v>60</v>
      </c>
      <c r="Q11">
        <v>0</v>
      </c>
      <c r="R11" t="s">
        <v>47</v>
      </c>
      <c r="S11">
        <v>0</v>
      </c>
      <c r="T11">
        <v>0</v>
      </c>
      <c r="V11">
        <v>0</v>
      </c>
      <c r="W11">
        <v>0</v>
      </c>
      <c r="Y11">
        <v>0</v>
      </c>
      <c r="Z11">
        <v>5350</v>
      </c>
      <c r="AA11">
        <v>494.875</v>
      </c>
      <c r="AB11" t="s">
        <v>40</v>
      </c>
    </row>
    <row r="12" spans="1:28">
      <c r="A12" t="s">
        <v>28</v>
      </c>
      <c r="B12" s="3">
        <v>44409</v>
      </c>
      <c r="C12" t="s">
        <v>29</v>
      </c>
      <c r="D12" t="s">
        <v>30</v>
      </c>
      <c r="E12" t="s">
        <v>69</v>
      </c>
      <c r="F12" t="s">
        <v>32</v>
      </c>
      <c r="G12" t="s">
        <v>70</v>
      </c>
      <c r="H12" s="3">
        <v>44412</v>
      </c>
      <c r="I12" s="3">
        <v>44425</v>
      </c>
      <c r="J12" t="s">
        <v>71</v>
      </c>
      <c r="K12" t="s">
        <v>35</v>
      </c>
      <c r="L12" t="s">
        <v>72</v>
      </c>
      <c r="M12" t="s">
        <v>45</v>
      </c>
      <c r="N12" t="s">
        <v>46</v>
      </c>
      <c r="O12">
        <v>4470</v>
      </c>
      <c r="P12" t="s">
        <v>60</v>
      </c>
      <c r="Q12">
        <v>0</v>
      </c>
      <c r="R12" t="s">
        <v>47</v>
      </c>
      <c r="S12">
        <v>0</v>
      </c>
      <c r="T12">
        <v>0</v>
      </c>
      <c r="V12">
        <v>0</v>
      </c>
      <c r="W12">
        <v>0</v>
      </c>
      <c r="Y12">
        <v>0</v>
      </c>
      <c r="Z12">
        <v>4470</v>
      </c>
      <c r="AA12">
        <v>413.47500000000002</v>
      </c>
      <c r="AB12" t="s">
        <v>40</v>
      </c>
    </row>
    <row r="13" spans="1:28">
      <c r="A13" t="s">
        <v>28</v>
      </c>
      <c r="B13" s="3">
        <v>44409</v>
      </c>
      <c r="C13" t="s">
        <v>29</v>
      </c>
      <c r="D13" t="s">
        <v>30</v>
      </c>
      <c r="E13" t="s">
        <v>73</v>
      </c>
      <c r="F13" t="s">
        <v>32</v>
      </c>
      <c r="G13" t="s">
        <v>74</v>
      </c>
      <c r="H13" s="3">
        <v>44419</v>
      </c>
      <c r="I13" s="3">
        <v>44431</v>
      </c>
      <c r="J13" t="s">
        <v>67</v>
      </c>
      <c r="K13" t="s">
        <v>35</v>
      </c>
      <c r="L13" t="s">
        <v>68</v>
      </c>
      <c r="M13" t="s">
        <v>45</v>
      </c>
      <c r="N13" t="s">
        <v>46</v>
      </c>
      <c r="O13">
        <v>3847.72</v>
      </c>
      <c r="P13" t="s">
        <v>60</v>
      </c>
      <c r="Q13">
        <v>0</v>
      </c>
      <c r="R13" t="s">
        <v>47</v>
      </c>
      <c r="S13">
        <v>0</v>
      </c>
      <c r="T13">
        <v>0</v>
      </c>
      <c r="V13">
        <v>0</v>
      </c>
      <c r="W13">
        <v>0</v>
      </c>
      <c r="Y13">
        <v>0</v>
      </c>
      <c r="Z13">
        <v>3847.72</v>
      </c>
      <c r="AA13">
        <v>355.91409999999996</v>
      </c>
      <c r="AB13" t="s">
        <v>40</v>
      </c>
    </row>
    <row r="14" spans="1:28">
      <c r="A14" t="s">
        <v>28</v>
      </c>
      <c r="B14" s="3">
        <v>44562</v>
      </c>
      <c r="C14" t="s">
        <v>29</v>
      </c>
      <c r="D14" t="s">
        <v>30</v>
      </c>
      <c r="E14" t="s">
        <v>75</v>
      </c>
      <c r="F14" t="s">
        <v>32</v>
      </c>
      <c r="G14" t="s">
        <v>76</v>
      </c>
      <c r="H14" s="3">
        <v>44582</v>
      </c>
      <c r="I14" s="3">
        <v>44582</v>
      </c>
      <c r="J14" t="s">
        <v>77</v>
      </c>
      <c r="K14" t="s">
        <v>35</v>
      </c>
      <c r="L14" t="s">
        <v>78</v>
      </c>
      <c r="M14" t="s">
        <v>45</v>
      </c>
      <c r="N14" t="s">
        <v>46</v>
      </c>
      <c r="O14">
        <v>3700</v>
      </c>
      <c r="P14" t="s">
        <v>60</v>
      </c>
      <c r="Q14">
        <v>0</v>
      </c>
      <c r="R14" t="s">
        <v>47</v>
      </c>
      <c r="S14">
        <v>0</v>
      </c>
      <c r="T14">
        <v>0</v>
      </c>
      <c r="V14">
        <v>0</v>
      </c>
      <c r="W14">
        <v>0</v>
      </c>
      <c r="Y14">
        <v>0</v>
      </c>
      <c r="Z14">
        <v>3700</v>
      </c>
      <c r="AA14">
        <v>342.25</v>
      </c>
      <c r="AB14" t="s">
        <v>40</v>
      </c>
    </row>
    <row r="15" spans="1:28">
      <c r="A15" t="s">
        <v>28</v>
      </c>
      <c r="B15" s="3">
        <v>44256</v>
      </c>
      <c r="C15" t="s">
        <v>29</v>
      </c>
      <c r="D15" t="s">
        <v>30</v>
      </c>
      <c r="E15" t="s">
        <v>79</v>
      </c>
      <c r="F15" t="s">
        <v>32</v>
      </c>
      <c r="G15" t="s">
        <v>80</v>
      </c>
      <c r="H15" s="3">
        <v>44258</v>
      </c>
      <c r="I15" s="3">
        <v>44258</v>
      </c>
      <c r="J15" t="s">
        <v>67</v>
      </c>
      <c r="K15" t="s">
        <v>35</v>
      </c>
      <c r="L15" t="s">
        <v>68</v>
      </c>
      <c r="M15" t="s">
        <v>45</v>
      </c>
      <c r="N15" t="s">
        <v>46</v>
      </c>
      <c r="O15">
        <v>2000</v>
      </c>
      <c r="P15" t="s">
        <v>60</v>
      </c>
      <c r="Q15">
        <v>0</v>
      </c>
      <c r="R15" t="s">
        <v>47</v>
      </c>
      <c r="S15">
        <v>0</v>
      </c>
      <c r="T15">
        <v>0</v>
      </c>
      <c r="V15">
        <v>0</v>
      </c>
      <c r="W15">
        <v>0</v>
      </c>
      <c r="Y15">
        <v>0</v>
      </c>
      <c r="Z15">
        <v>2000</v>
      </c>
      <c r="AA15">
        <v>185</v>
      </c>
      <c r="AB15" t="s">
        <v>40</v>
      </c>
    </row>
    <row r="16" spans="1:28">
      <c r="A16" t="s">
        <v>28</v>
      </c>
      <c r="B16" s="3">
        <v>44440</v>
      </c>
      <c r="C16" t="s">
        <v>29</v>
      </c>
      <c r="D16" t="s">
        <v>30</v>
      </c>
      <c r="E16" t="s">
        <v>81</v>
      </c>
      <c r="F16" t="s">
        <v>32</v>
      </c>
      <c r="G16" t="s">
        <v>82</v>
      </c>
      <c r="H16" s="3">
        <v>44454</v>
      </c>
      <c r="I16" s="3">
        <v>44466</v>
      </c>
      <c r="J16" t="s">
        <v>67</v>
      </c>
      <c r="K16" t="s">
        <v>35</v>
      </c>
      <c r="L16" t="s">
        <v>68</v>
      </c>
      <c r="M16" t="s">
        <v>45</v>
      </c>
      <c r="N16" t="s">
        <v>46</v>
      </c>
      <c r="O16">
        <v>1750</v>
      </c>
      <c r="P16" t="s">
        <v>32</v>
      </c>
      <c r="Q16">
        <v>0</v>
      </c>
      <c r="R16" t="s">
        <v>47</v>
      </c>
      <c r="S16">
        <v>0</v>
      </c>
      <c r="T16">
        <v>0</v>
      </c>
      <c r="V16">
        <v>0</v>
      </c>
      <c r="W16">
        <v>0</v>
      </c>
      <c r="Y16">
        <v>0</v>
      </c>
      <c r="Z16">
        <v>1750</v>
      </c>
      <c r="AA16">
        <v>161.875</v>
      </c>
      <c r="AB16" t="s">
        <v>40</v>
      </c>
    </row>
    <row r="17" spans="1:28">
      <c r="A17" t="s">
        <v>28</v>
      </c>
      <c r="B17" s="3">
        <v>44958</v>
      </c>
      <c r="C17" t="s">
        <v>29</v>
      </c>
      <c r="D17" t="s">
        <v>30</v>
      </c>
      <c r="E17" t="s">
        <v>83</v>
      </c>
      <c r="F17" t="s">
        <v>32</v>
      </c>
      <c r="G17" t="s">
        <v>84</v>
      </c>
      <c r="H17" s="3">
        <v>44957</v>
      </c>
      <c r="I17" s="3">
        <v>44971</v>
      </c>
      <c r="J17" t="s">
        <v>67</v>
      </c>
      <c r="K17" t="s">
        <v>35</v>
      </c>
      <c r="L17" t="s">
        <v>68</v>
      </c>
      <c r="M17" t="s">
        <v>45</v>
      </c>
      <c r="N17" t="s">
        <v>46</v>
      </c>
      <c r="O17">
        <v>1603.01</v>
      </c>
      <c r="P17" t="s">
        <v>60</v>
      </c>
      <c r="Q17">
        <v>0</v>
      </c>
      <c r="R17" t="s">
        <v>47</v>
      </c>
      <c r="S17">
        <v>0</v>
      </c>
      <c r="T17">
        <v>0</v>
      </c>
      <c r="V17">
        <v>0</v>
      </c>
      <c r="W17">
        <v>0</v>
      </c>
      <c r="Y17">
        <v>0</v>
      </c>
      <c r="Z17">
        <v>1603.01</v>
      </c>
      <c r="AA17">
        <v>148.278425</v>
      </c>
      <c r="AB17" t="s">
        <v>40</v>
      </c>
    </row>
    <row r="18" spans="1:28">
      <c r="A18" t="s">
        <v>28</v>
      </c>
      <c r="B18" s="3">
        <v>44896</v>
      </c>
      <c r="C18" t="s">
        <v>29</v>
      </c>
      <c r="D18" t="s">
        <v>30</v>
      </c>
      <c r="E18" t="s">
        <v>85</v>
      </c>
      <c r="F18" t="s">
        <v>32</v>
      </c>
      <c r="G18" t="s">
        <v>86</v>
      </c>
      <c r="H18" s="3">
        <v>44876</v>
      </c>
      <c r="I18" s="3">
        <v>44901</v>
      </c>
      <c r="J18" t="s">
        <v>87</v>
      </c>
      <c r="K18" t="s">
        <v>35</v>
      </c>
      <c r="L18" t="s">
        <v>88</v>
      </c>
      <c r="M18" t="s">
        <v>45</v>
      </c>
      <c r="N18" t="s">
        <v>46</v>
      </c>
      <c r="O18">
        <v>1500</v>
      </c>
      <c r="P18" t="s">
        <v>60</v>
      </c>
      <c r="Q18">
        <v>0</v>
      </c>
      <c r="R18" t="s">
        <v>47</v>
      </c>
      <c r="S18">
        <v>0</v>
      </c>
      <c r="T18">
        <v>0</v>
      </c>
      <c r="V18">
        <v>0</v>
      </c>
      <c r="W18">
        <v>0</v>
      </c>
      <c r="Y18">
        <v>0</v>
      </c>
      <c r="Z18">
        <v>1500</v>
      </c>
      <c r="AA18">
        <v>138.75</v>
      </c>
      <c r="AB18" t="s">
        <v>40</v>
      </c>
    </row>
    <row r="19" spans="1:28">
      <c r="A19" t="s">
        <v>28</v>
      </c>
      <c r="B19" s="3">
        <v>44593</v>
      </c>
      <c r="C19" t="s">
        <v>29</v>
      </c>
      <c r="D19" t="s">
        <v>30</v>
      </c>
      <c r="E19" t="s">
        <v>89</v>
      </c>
      <c r="F19" t="s">
        <v>32</v>
      </c>
      <c r="G19" t="s">
        <v>90</v>
      </c>
      <c r="H19" s="3">
        <v>44593</v>
      </c>
      <c r="I19" s="3">
        <v>44593</v>
      </c>
      <c r="J19" t="s">
        <v>67</v>
      </c>
      <c r="K19" t="s">
        <v>35</v>
      </c>
      <c r="L19" t="s">
        <v>68</v>
      </c>
      <c r="M19" t="s">
        <v>45</v>
      </c>
      <c r="N19" t="s">
        <v>46</v>
      </c>
      <c r="O19">
        <v>1483.87</v>
      </c>
      <c r="P19" t="s">
        <v>60</v>
      </c>
      <c r="Q19">
        <v>0</v>
      </c>
      <c r="R19" t="s">
        <v>47</v>
      </c>
      <c r="S19">
        <v>0</v>
      </c>
      <c r="T19">
        <v>0</v>
      </c>
      <c r="V19">
        <v>0</v>
      </c>
      <c r="W19">
        <v>0</v>
      </c>
      <c r="Y19">
        <v>0</v>
      </c>
      <c r="Z19">
        <v>1483.87</v>
      </c>
      <c r="AA19">
        <v>137.25797499999999</v>
      </c>
      <c r="AB19" t="s">
        <v>40</v>
      </c>
    </row>
    <row r="20" spans="1:28">
      <c r="A20" t="s">
        <v>28</v>
      </c>
      <c r="B20" s="3">
        <v>44440</v>
      </c>
      <c r="C20" t="s">
        <v>29</v>
      </c>
      <c r="D20" t="s">
        <v>30</v>
      </c>
      <c r="E20" t="s">
        <v>81</v>
      </c>
      <c r="F20" t="s">
        <v>32</v>
      </c>
      <c r="G20" t="s">
        <v>82</v>
      </c>
      <c r="H20" s="3">
        <v>44454</v>
      </c>
      <c r="I20" s="3">
        <v>44466</v>
      </c>
      <c r="J20" t="s">
        <v>67</v>
      </c>
      <c r="K20" t="s">
        <v>35</v>
      </c>
      <c r="L20" t="s">
        <v>68</v>
      </c>
      <c r="M20" t="s">
        <v>45</v>
      </c>
      <c r="N20" t="s">
        <v>46</v>
      </c>
      <c r="O20">
        <v>675</v>
      </c>
      <c r="P20" t="s">
        <v>60</v>
      </c>
      <c r="Q20">
        <v>0</v>
      </c>
      <c r="R20" t="s">
        <v>47</v>
      </c>
      <c r="S20">
        <v>0</v>
      </c>
      <c r="T20">
        <v>0</v>
      </c>
      <c r="V20">
        <v>0</v>
      </c>
      <c r="W20">
        <v>0</v>
      </c>
      <c r="Y20">
        <v>0</v>
      </c>
      <c r="Z20">
        <v>675</v>
      </c>
      <c r="AA20">
        <v>62.4375</v>
      </c>
      <c r="AB20" t="s">
        <v>40</v>
      </c>
    </row>
    <row r="21" spans="1:28">
      <c r="A21" t="s">
        <v>28</v>
      </c>
      <c r="B21" s="3">
        <v>44682</v>
      </c>
      <c r="C21" t="s">
        <v>29</v>
      </c>
      <c r="D21" t="s">
        <v>30</v>
      </c>
      <c r="E21" t="s">
        <v>91</v>
      </c>
      <c r="F21" t="s">
        <v>32</v>
      </c>
      <c r="G21" t="s">
        <v>92</v>
      </c>
      <c r="H21" s="3">
        <v>44708</v>
      </c>
      <c r="I21" s="3">
        <v>44708</v>
      </c>
      <c r="J21" t="s">
        <v>77</v>
      </c>
      <c r="K21" t="s">
        <v>35</v>
      </c>
      <c r="L21" t="s">
        <v>78</v>
      </c>
      <c r="M21" t="s">
        <v>45</v>
      </c>
      <c r="N21" t="s">
        <v>46</v>
      </c>
      <c r="O21">
        <v>600</v>
      </c>
      <c r="P21" t="s">
        <v>60</v>
      </c>
      <c r="Q21">
        <v>0</v>
      </c>
      <c r="R21" t="s">
        <v>47</v>
      </c>
      <c r="S21">
        <v>0</v>
      </c>
      <c r="T21">
        <v>0</v>
      </c>
      <c r="V21">
        <v>0</v>
      </c>
      <c r="W21">
        <v>0</v>
      </c>
      <c r="Y21">
        <v>0</v>
      </c>
      <c r="Z21">
        <v>600</v>
      </c>
      <c r="AA21">
        <v>55.5</v>
      </c>
      <c r="AB21" t="s">
        <v>40</v>
      </c>
    </row>
    <row r="22" spans="1:28">
      <c r="A22" t="s">
        <v>28</v>
      </c>
      <c r="B22" s="3">
        <v>44593</v>
      </c>
      <c r="C22" t="s">
        <v>29</v>
      </c>
      <c r="D22" t="s">
        <v>30</v>
      </c>
      <c r="E22" t="s">
        <v>93</v>
      </c>
      <c r="F22" t="s">
        <v>32</v>
      </c>
      <c r="G22" t="s">
        <v>94</v>
      </c>
      <c r="H22" s="3">
        <v>44593</v>
      </c>
      <c r="I22" s="3">
        <v>44593</v>
      </c>
      <c r="J22" t="s">
        <v>67</v>
      </c>
      <c r="K22" t="s">
        <v>35</v>
      </c>
      <c r="L22" t="s">
        <v>68</v>
      </c>
      <c r="M22" t="s">
        <v>45</v>
      </c>
      <c r="N22" t="s">
        <v>46</v>
      </c>
      <c r="O22">
        <v>441.7</v>
      </c>
      <c r="P22" t="s">
        <v>60</v>
      </c>
      <c r="Q22">
        <v>0</v>
      </c>
      <c r="R22" t="s">
        <v>47</v>
      </c>
      <c r="S22">
        <v>0</v>
      </c>
      <c r="T22">
        <v>0</v>
      </c>
      <c r="V22">
        <v>0</v>
      </c>
      <c r="W22">
        <v>0</v>
      </c>
      <c r="Y22">
        <v>0</v>
      </c>
      <c r="Z22">
        <v>441.7</v>
      </c>
      <c r="AA22">
        <v>40.857250000000001</v>
      </c>
      <c r="AB22" t="s">
        <v>40</v>
      </c>
    </row>
    <row r="23" spans="1:28">
      <c r="A23" t="s">
        <v>28</v>
      </c>
      <c r="B23" s="3">
        <v>44197</v>
      </c>
      <c r="C23" t="s">
        <v>29</v>
      </c>
      <c r="D23" t="s">
        <v>30</v>
      </c>
      <c r="E23" t="s">
        <v>95</v>
      </c>
      <c r="F23" t="s">
        <v>32</v>
      </c>
      <c r="G23" t="s">
        <v>96</v>
      </c>
      <c r="H23" s="3">
        <v>44210</v>
      </c>
      <c r="I23" s="3">
        <v>44223</v>
      </c>
      <c r="J23" t="s">
        <v>67</v>
      </c>
      <c r="K23" t="s">
        <v>35</v>
      </c>
      <c r="L23" t="s">
        <v>68</v>
      </c>
      <c r="M23" t="s">
        <v>45</v>
      </c>
      <c r="N23" t="s">
        <v>46</v>
      </c>
      <c r="O23">
        <v>431.6</v>
      </c>
      <c r="P23" t="s">
        <v>60</v>
      </c>
      <c r="Q23">
        <v>0</v>
      </c>
      <c r="R23" t="s">
        <v>47</v>
      </c>
      <c r="S23">
        <v>0</v>
      </c>
      <c r="T23">
        <v>0</v>
      </c>
      <c r="V23">
        <v>0</v>
      </c>
      <c r="W23">
        <v>0</v>
      </c>
      <c r="Y23">
        <v>0</v>
      </c>
      <c r="Z23">
        <v>431.6</v>
      </c>
      <c r="AA23">
        <v>39.923000000000002</v>
      </c>
      <c r="AB23" t="s">
        <v>40</v>
      </c>
    </row>
    <row r="24" spans="1:28">
      <c r="A24" t="s">
        <v>28</v>
      </c>
      <c r="B24" s="3">
        <v>44531</v>
      </c>
      <c r="C24" t="s">
        <v>29</v>
      </c>
      <c r="D24" t="s">
        <v>30</v>
      </c>
      <c r="E24" t="s">
        <v>97</v>
      </c>
      <c r="F24" t="s">
        <v>32</v>
      </c>
      <c r="G24" t="s">
        <v>98</v>
      </c>
      <c r="H24" s="3">
        <v>44537</v>
      </c>
      <c r="I24" s="3">
        <v>44546</v>
      </c>
      <c r="J24" t="s">
        <v>99</v>
      </c>
      <c r="K24" t="s">
        <v>35</v>
      </c>
      <c r="L24" t="s">
        <v>100</v>
      </c>
      <c r="M24" t="s">
        <v>45</v>
      </c>
      <c r="N24" t="s">
        <v>46</v>
      </c>
      <c r="O24">
        <v>343.6</v>
      </c>
      <c r="P24" t="s">
        <v>60</v>
      </c>
      <c r="Q24">
        <v>0</v>
      </c>
      <c r="R24" t="s">
        <v>47</v>
      </c>
      <c r="S24">
        <v>0</v>
      </c>
      <c r="T24">
        <v>0</v>
      </c>
      <c r="V24">
        <v>0</v>
      </c>
      <c r="W24">
        <v>0</v>
      </c>
      <c r="Y24">
        <v>0</v>
      </c>
      <c r="Z24">
        <v>343.6</v>
      </c>
      <c r="AA24">
        <v>31.783000000000001</v>
      </c>
      <c r="AB24" t="s">
        <v>40</v>
      </c>
    </row>
    <row r="25" spans="1:28">
      <c r="A25" t="s">
        <v>28</v>
      </c>
      <c r="B25" s="3">
        <v>44531</v>
      </c>
      <c r="C25" t="s">
        <v>29</v>
      </c>
      <c r="D25" t="s">
        <v>30</v>
      </c>
      <c r="E25" t="s">
        <v>101</v>
      </c>
      <c r="F25" t="s">
        <v>32</v>
      </c>
      <c r="G25" t="s">
        <v>102</v>
      </c>
      <c r="H25" s="3">
        <v>44524</v>
      </c>
      <c r="I25" s="3">
        <v>44546</v>
      </c>
      <c r="J25" t="s">
        <v>103</v>
      </c>
      <c r="K25" t="s">
        <v>35</v>
      </c>
      <c r="L25" t="s">
        <v>104</v>
      </c>
      <c r="M25" t="s">
        <v>45</v>
      </c>
      <c r="N25" t="s">
        <v>46</v>
      </c>
      <c r="O25">
        <v>330.38</v>
      </c>
      <c r="P25" t="s">
        <v>60</v>
      </c>
      <c r="Q25">
        <v>0</v>
      </c>
      <c r="R25" t="s">
        <v>47</v>
      </c>
      <c r="S25">
        <v>0</v>
      </c>
      <c r="T25">
        <v>0</v>
      </c>
      <c r="V25">
        <v>0</v>
      </c>
      <c r="W25">
        <v>0</v>
      </c>
      <c r="Y25">
        <v>0</v>
      </c>
      <c r="Z25">
        <v>330.38</v>
      </c>
      <c r="AA25">
        <v>30.56015</v>
      </c>
      <c r="AB25" t="s">
        <v>40</v>
      </c>
    </row>
    <row r="26" spans="1:28">
      <c r="A26" t="s">
        <v>28</v>
      </c>
      <c r="B26" s="3">
        <v>44896</v>
      </c>
      <c r="C26" t="s">
        <v>29</v>
      </c>
      <c r="D26" t="s">
        <v>30</v>
      </c>
      <c r="E26" t="s">
        <v>105</v>
      </c>
      <c r="F26" t="s">
        <v>32</v>
      </c>
      <c r="G26" t="s">
        <v>106</v>
      </c>
      <c r="H26" s="3">
        <v>44876</v>
      </c>
      <c r="I26" s="3">
        <v>44907</v>
      </c>
      <c r="J26" t="s">
        <v>87</v>
      </c>
      <c r="K26" t="s">
        <v>35</v>
      </c>
      <c r="L26" t="s">
        <v>88</v>
      </c>
      <c r="M26" t="s">
        <v>45</v>
      </c>
      <c r="N26" t="s">
        <v>46</v>
      </c>
      <c r="O26">
        <v>300</v>
      </c>
      <c r="P26" t="s">
        <v>60</v>
      </c>
      <c r="Q26">
        <v>0</v>
      </c>
      <c r="R26" t="s">
        <v>47</v>
      </c>
      <c r="S26">
        <v>0</v>
      </c>
      <c r="T26">
        <v>0</v>
      </c>
      <c r="V26">
        <v>0</v>
      </c>
      <c r="W26">
        <v>0</v>
      </c>
      <c r="Y26">
        <v>0</v>
      </c>
      <c r="Z26">
        <v>300</v>
      </c>
      <c r="AA26">
        <v>27.75</v>
      </c>
      <c r="AB26" t="s">
        <v>40</v>
      </c>
    </row>
    <row r="27" spans="1:28">
      <c r="A27" t="s">
        <v>28</v>
      </c>
      <c r="B27" s="3">
        <v>44958</v>
      </c>
      <c r="C27" t="s">
        <v>29</v>
      </c>
      <c r="D27" t="s">
        <v>30</v>
      </c>
      <c r="E27" t="s">
        <v>107</v>
      </c>
      <c r="F27" t="s">
        <v>32</v>
      </c>
      <c r="G27" t="s">
        <v>108</v>
      </c>
      <c r="H27" s="3">
        <v>44950</v>
      </c>
      <c r="I27" s="3">
        <v>44985</v>
      </c>
      <c r="J27" t="s">
        <v>109</v>
      </c>
      <c r="K27" t="s">
        <v>35</v>
      </c>
      <c r="L27" t="s">
        <v>110</v>
      </c>
      <c r="M27" t="s">
        <v>45</v>
      </c>
      <c r="N27" t="s">
        <v>46</v>
      </c>
      <c r="O27">
        <v>298.43</v>
      </c>
      <c r="P27" t="s">
        <v>32</v>
      </c>
      <c r="Q27">
        <v>298.43</v>
      </c>
      <c r="R27" t="s">
        <v>111</v>
      </c>
      <c r="S27">
        <v>50.73</v>
      </c>
      <c r="T27">
        <v>0</v>
      </c>
      <c r="V27">
        <v>0</v>
      </c>
      <c r="W27">
        <v>0</v>
      </c>
      <c r="Y27">
        <v>0</v>
      </c>
      <c r="Z27">
        <v>298.43</v>
      </c>
      <c r="AA27">
        <v>27.604775</v>
      </c>
      <c r="AB27" t="s">
        <v>40</v>
      </c>
    </row>
    <row r="28" spans="1:28">
      <c r="A28" t="s">
        <v>28</v>
      </c>
      <c r="B28" s="3">
        <v>44743</v>
      </c>
      <c r="C28" t="s">
        <v>29</v>
      </c>
      <c r="D28" t="s">
        <v>30</v>
      </c>
      <c r="E28" t="s">
        <v>112</v>
      </c>
      <c r="F28" t="s">
        <v>32</v>
      </c>
      <c r="G28" t="s">
        <v>113</v>
      </c>
      <c r="H28" s="3">
        <v>44750</v>
      </c>
      <c r="I28" s="3">
        <v>44750</v>
      </c>
      <c r="J28" t="s">
        <v>67</v>
      </c>
      <c r="K28" t="s">
        <v>35</v>
      </c>
      <c r="L28" t="s">
        <v>68</v>
      </c>
      <c r="M28" t="s">
        <v>45</v>
      </c>
      <c r="N28" t="s">
        <v>46</v>
      </c>
      <c r="O28">
        <v>292.47000000000003</v>
      </c>
      <c r="P28" t="s">
        <v>60</v>
      </c>
      <c r="Q28">
        <v>0</v>
      </c>
      <c r="R28" t="s">
        <v>47</v>
      </c>
      <c r="S28">
        <v>0</v>
      </c>
      <c r="T28">
        <v>0</v>
      </c>
      <c r="V28">
        <v>0</v>
      </c>
      <c r="W28">
        <v>0</v>
      </c>
      <c r="Y28">
        <v>0</v>
      </c>
      <c r="Z28">
        <v>292.47000000000003</v>
      </c>
      <c r="AA28">
        <v>27.053475000000002</v>
      </c>
      <c r="AB28" t="s">
        <v>40</v>
      </c>
    </row>
    <row r="29" spans="1:28">
      <c r="A29" t="s">
        <v>114</v>
      </c>
      <c r="B29" s="3">
        <v>45231</v>
      </c>
      <c r="C29" t="s">
        <v>29</v>
      </c>
      <c r="D29" t="s">
        <v>30</v>
      </c>
      <c r="E29" t="s">
        <v>115</v>
      </c>
      <c r="F29" t="s">
        <v>32</v>
      </c>
      <c r="G29" t="s">
        <v>116</v>
      </c>
      <c r="H29" s="3">
        <v>45227</v>
      </c>
      <c r="I29" s="3">
        <v>45252</v>
      </c>
      <c r="J29" t="s">
        <v>117</v>
      </c>
      <c r="K29" t="s">
        <v>35</v>
      </c>
      <c r="L29" t="s">
        <v>118</v>
      </c>
      <c r="M29" t="s">
        <v>45</v>
      </c>
      <c r="N29" t="s">
        <v>46</v>
      </c>
      <c r="O29">
        <v>274.86</v>
      </c>
      <c r="P29" t="s">
        <v>32</v>
      </c>
      <c r="Q29">
        <v>0</v>
      </c>
      <c r="R29" t="s">
        <v>47</v>
      </c>
      <c r="S29">
        <v>0</v>
      </c>
      <c r="T29">
        <v>0</v>
      </c>
      <c r="V29">
        <v>0</v>
      </c>
      <c r="W29">
        <v>0</v>
      </c>
      <c r="Y29">
        <v>0</v>
      </c>
      <c r="Z29">
        <v>274.86</v>
      </c>
      <c r="AA29">
        <v>25.42455</v>
      </c>
      <c r="AB29" t="s">
        <v>40</v>
      </c>
    </row>
    <row r="30" spans="1:28">
      <c r="A30" t="s">
        <v>28</v>
      </c>
      <c r="B30" s="3">
        <v>44743</v>
      </c>
      <c r="C30" t="s">
        <v>29</v>
      </c>
      <c r="D30" t="s">
        <v>30</v>
      </c>
      <c r="E30" t="s">
        <v>119</v>
      </c>
      <c r="F30" t="s">
        <v>32</v>
      </c>
      <c r="G30" t="s">
        <v>120</v>
      </c>
      <c r="H30" s="3">
        <v>44748</v>
      </c>
      <c r="I30" s="3">
        <v>44755</v>
      </c>
      <c r="J30" t="s">
        <v>67</v>
      </c>
      <c r="K30" t="s">
        <v>35</v>
      </c>
      <c r="L30" t="s">
        <v>68</v>
      </c>
      <c r="M30" t="s">
        <v>45</v>
      </c>
      <c r="N30" t="s">
        <v>46</v>
      </c>
      <c r="O30">
        <v>218.82</v>
      </c>
      <c r="P30" t="s">
        <v>60</v>
      </c>
      <c r="Q30">
        <v>0</v>
      </c>
      <c r="R30" t="s">
        <v>47</v>
      </c>
      <c r="S30">
        <v>0</v>
      </c>
      <c r="T30">
        <v>0</v>
      </c>
      <c r="V30">
        <v>0</v>
      </c>
      <c r="W30">
        <v>0</v>
      </c>
      <c r="Y30">
        <v>0</v>
      </c>
      <c r="Z30">
        <v>218.82</v>
      </c>
      <c r="AA30">
        <v>20.240850000000002</v>
      </c>
      <c r="AB30" t="s">
        <v>40</v>
      </c>
    </row>
    <row r="31" spans="1:28">
      <c r="A31" t="s">
        <v>28</v>
      </c>
      <c r="B31" s="3">
        <v>44652</v>
      </c>
      <c r="C31" t="s">
        <v>29</v>
      </c>
      <c r="D31" t="s">
        <v>30</v>
      </c>
      <c r="E31" t="s">
        <v>121</v>
      </c>
      <c r="F31" t="s">
        <v>32</v>
      </c>
      <c r="G31" t="s">
        <v>122</v>
      </c>
      <c r="H31" s="3">
        <v>44644</v>
      </c>
      <c r="I31" s="3">
        <v>44657</v>
      </c>
      <c r="J31" t="s">
        <v>67</v>
      </c>
      <c r="K31" t="s">
        <v>35</v>
      </c>
      <c r="L31" t="s">
        <v>68</v>
      </c>
      <c r="M31" t="s">
        <v>45</v>
      </c>
      <c r="N31" t="s">
        <v>46</v>
      </c>
      <c r="O31">
        <v>210.57</v>
      </c>
      <c r="P31" t="s">
        <v>60</v>
      </c>
      <c r="Q31">
        <v>0</v>
      </c>
      <c r="R31" t="s">
        <v>47</v>
      </c>
      <c r="S31">
        <v>0</v>
      </c>
      <c r="T31">
        <v>0</v>
      </c>
      <c r="V31">
        <v>0</v>
      </c>
      <c r="W31">
        <v>0</v>
      </c>
      <c r="Y31">
        <v>0</v>
      </c>
      <c r="Z31">
        <v>210.57</v>
      </c>
      <c r="AA31">
        <v>19.477725</v>
      </c>
      <c r="AB31" t="s">
        <v>40</v>
      </c>
    </row>
    <row r="32" spans="1:28">
      <c r="A32" t="s">
        <v>28</v>
      </c>
      <c r="B32" s="3">
        <v>44835</v>
      </c>
      <c r="C32" t="s">
        <v>29</v>
      </c>
      <c r="D32" t="s">
        <v>30</v>
      </c>
      <c r="E32" t="s">
        <v>123</v>
      </c>
      <c r="F32" t="s">
        <v>32</v>
      </c>
      <c r="G32" t="s">
        <v>124</v>
      </c>
      <c r="H32" s="3">
        <v>44832</v>
      </c>
      <c r="I32" s="3">
        <v>44844</v>
      </c>
      <c r="J32" t="s">
        <v>67</v>
      </c>
      <c r="K32" t="s">
        <v>35</v>
      </c>
      <c r="L32" t="s">
        <v>68</v>
      </c>
      <c r="M32" t="s">
        <v>45</v>
      </c>
      <c r="N32" t="s">
        <v>46</v>
      </c>
      <c r="O32">
        <v>206.67</v>
      </c>
      <c r="P32" t="s">
        <v>60</v>
      </c>
      <c r="Q32">
        <v>0</v>
      </c>
      <c r="R32" t="s">
        <v>47</v>
      </c>
      <c r="S32">
        <v>0</v>
      </c>
      <c r="T32">
        <v>0</v>
      </c>
      <c r="V32">
        <v>0</v>
      </c>
      <c r="W32">
        <v>0</v>
      </c>
      <c r="Y32">
        <v>0</v>
      </c>
      <c r="Z32">
        <v>206.67</v>
      </c>
      <c r="AA32">
        <v>19.116975</v>
      </c>
      <c r="AB32" t="s">
        <v>40</v>
      </c>
    </row>
    <row r="33" spans="1:28">
      <c r="A33" t="s">
        <v>28</v>
      </c>
      <c r="B33" s="3">
        <v>44958</v>
      </c>
      <c r="C33" t="s">
        <v>29</v>
      </c>
      <c r="D33" t="s">
        <v>30</v>
      </c>
      <c r="E33" t="s">
        <v>125</v>
      </c>
      <c r="F33" t="s">
        <v>32</v>
      </c>
      <c r="G33" t="s">
        <v>126</v>
      </c>
      <c r="H33" s="3">
        <v>44960</v>
      </c>
      <c r="I33" s="3">
        <v>44972</v>
      </c>
      <c r="J33" t="s">
        <v>67</v>
      </c>
      <c r="K33" t="s">
        <v>35</v>
      </c>
      <c r="L33" t="s">
        <v>68</v>
      </c>
      <c r="M33" t="s">
        <v>45</v>
      </c>
      <c r="N33" t="s">
        <v>46</v>
      </c>
      <c r="O33">
        <v>171.8</v>
      </c>
      <c r="P33" t="s">
        <v>32</v>
      </c>
      <c r="Q33">
        <v>0</v>
      </c>
      <c r="R33" t="s">
        <v>47</v>
      </c>
      <c r="S33">
        <v>0</v>
      </c>
      <c r="T33">
        <v>0</v>
      </c>
      <c r="V33">
        <v>0</v>
      </c>
      <c r="W33">
        <v>0</v>
      </c>
      <c r="Y33">
        <v>0</v>
      </c>
      <c r="Z33">
        <v>171.8</v>
      </c>
      <c r="AA33">
        <v>15.891500000000001</v>
      </c>
      <c r="AB33" t="s">
        <v>40</v>
      </c>
    </row>
    <row r="34" spans="1:28">
      <c r="A34" t="s">
        <v>28</v>
      </c>
      <c r="B34" s="3">
        <v>44805</v>
      </c>
      <c r="C34" t="s">
        <v>29</v>
      </c>
      <c r="D34" t="s">
        <v>30</v>
      </c>
      <c r="E34" t="s">
        <v>127</v>
      </c>
      <c r="F34" t="s">
        <v>32</v>
      </c>
      <c r="G34" t="s">
        <v>128</v>
      </c>
      <c r="H34" s="3">
        <v>44817</v>
      </c>
      <c r="I34" s="3">
        <v>44830</v>
      </c>
      <c r="J34" t="s">
        <v>67</v>
      </c>
      <c r="K34" t="s">
        <v>35</v>
      </c>
      <c r="L34" t="s">
        <v>68</v>
      </c>
      <c r="M34" t="s">
        <v>45</v>
      </c>
      <c r="N34" t="s">
        <v>46</v>
      </c>
      <c r="O34">
        <v>162.09</v>
      </c>
      <c r="P34" t="s">
        <v>60</v>
      </c>
      <c r="Q34">
        <v>0</v>
      </c>
      <c r="R34" t="s">
        <v>47</v>
      </c>
      <c r="S34">
        <v>0</v>
      </c>
      <c r="T34">
        <v>0</v>
      </c>
      <c r="V34">
        <v>0</v>
      </c>
      <c r="W34">
        <v>0</v>
      </c>
      <c r="Y34">
        <v>0</v>
      </c>
      <c r="Z34">
        <v>162.09</v>
      </c>
      <c r="AA34">
        <v>14.993325</v>
      </c>
      <c r="AB34" t="s">
        <v>40</v>
      </c>
    </row>
    <row r="35" spans="1:28">
      <c r="A35" t="s">
        <v>28</v>
      </c>
      <c r="B35" s="3">
        <v>44501</v>
      </c>
      <c r="C35" t="s">
        <v>29</v>
      </c>
      <c r="D35" t="s">
        <v>30</v>
      </c>
      <c r="E35" t="s">
        <v>129</v>
      </c>
      <c r="F35" t="s">
        <v>32</v>
      </c>
      <c r="G35" t="s">
        <v>130</v>
      </c>
      <c r="H35" s="3">
        <v>44517</v>
      </c>
      <c r="I35" s="3">
        <v>44525</v>
      </c>
      <c r="J35" t="s">
        <v>67</v>
      </c>
      <c r="K35" t="s">
        <v>35</v>
      </c>
      <c r="L35" t="s">
        <v>68</v>
      </c>
      <c r="M35" t="s">
        <v>45</v>
      </c>
      <c r="N35" t="s">
        <v>46</v>
      </c>
      <c r="O35">
        <v>151.85</v>
      </c>
      <c r="P35" t="s">
        <v>60</v>
      </c>
      <c r="Q35">
        <v>0</v>
      </c>
      <c r="R35" t="s">
        <v>47</v>
      </c>
      <c r="S35">
        <v>0</v>
      </c>
      <c r="T35">
        <v>0</v>
      </c>
      <c r="V35">
        <v>0</v>
      </c>
      <c r="W35">
        <v>0</v>
      </c>
      <c r="Y35">
        <v>0</v>
      </c>
      <c r="Z35">
        <v>151.85</v>
      </c>
      <c r="AA35">
        <v>14.046125</v>
      </c>
      <c r="AB35" t="s">
        <v>40</v>
      </c>
    </row>
    <row r="36" spans="1:28">
      <c r="A36" t="s">
        <v>28</v>
      </c>
      <c r="B36" s="3">
        <v>44317</v>
      </c>
      <c r="C36" t="s">
        <v>29</v>
      </c>
      <c r="D36" t="s">
        <v>30</v>
      </c>
      <c r="E36" t="s">
        <v>131</v>
      </c>
      <c r="F36" t="s">
        <v>32</v>
      </c>
      <c r="G36" t="s">
        <v>132</v>
      </c>
      <c r="H36" s="3">
        <v>44327</v>
      </c>
      <c r="I36" s="3">
        <v>44334</v>
      </c>
      <c r="J36" t="s">
        <v>67</v>
      </c>
      <c r="K36" t="s">
        <v>35</v>
      </c>
      <c r="L36" t="s">
        <v>68</v>
      </c>
      <c r="M36" t="s">
        <v>45</v>
      </c>
      <c r="N36" t="s">
        <v>46</v>
      </c>
      <c r="O36">
        <v>140.72999999999999</v>
      </c>
      <c r="P36" t="s">
        <v>60</v>
      </c>
      <c r="Q36">
        <v>0</v>
      </c>
      <c r="R36" t="s">
        <v>47</v>
      </c>
      <c r="S36">
        <v>0</v>
      </c>
      <c r="T36">
        <v>0</v>
      </c>
      <c r="V36">
        <v>0</v>
      </c>
      <c r="W36">
        <v>0</v>
      </c>
      <c r="Y36">
        <v>0</v>
      </c>
      <c r="Z36">
        <v>140.72999999999999</v>
      </c>
      <c r="AA36">
        <v>13.017524999999999</v>
      </c>
      <c r="AB36" t="s">
        <v>40</v>
      </c>
    </row>
    <row r="37" spans="1:28">
      <c r="A37" t="s">
        <v>28</v>
      </c>
      <c r="B37" s="3">
        <v>44743</v>
      </c>
      <c r="C37" t="s">
        <v>29</v>
      </c>
      <c r="D37" t="s">
        <v>30</v>
      </c>
      <c r="E37" t="s">
        <v>133</v>
      </c>
      <c r="F37" t="s">
        <v>32</v>
      </c>
      <c r="G37" t="s">
        <v>134</v>
      </c>
      <c r="H37" s="3">
        <v>44732</v>
      </c>
      <c r="I37" s="3">
        <v>44743</v>
      </c>
      <c r="J37" t="s">
        <v>67</v>
      </c>
      <c r="K37" t="s">
        <v>35</v>
      </c>
      <c r="L37" t="s">
        <v>68</v>
      </c>
      <c r="M37" t="s">
        <v>45</v>
      </c>
      <c r="N37" t="s">
        <v>46</v>
      </c>
      <c r="O37">
        <v>139.28</v>
      </c>
      <c r="P37" t="s">
        <v>60</v>
      </c>
      <c r="Q37">
        <v>0</v>
      </c>
      <c r="R37" t="s">
        <v>47</v>
      </c>
      <c r="S37">
        <v>0</v>
      </c>
      <c r="T37">
        <v>0</v>
      </c>
      <c r="V37">
        <v>0</v>
      </c>
      <c r="W37">
        <v>0</v>
      </c>
      <c r="Y37">
        <v>0</v>
      </c>
      <c r="Z37">
        <v>139.28</v>
      </c>
      <c r="AA37">
        <v>12.8834</v>
      </c>
      <c r="AB37" t="s">
        <v>40</v>
      </c>
    </row>
    <row r="38" spans="1:28">
      <c r="A38" t="s">
        <v>28</v>
      </c>
      <c r="B38" s="3">
        <v>44593</v>
      </c>
      <c r="C38" t="s">
        <v>29</v>
      </c>
      <c r="D38" t="s">
        <v>30</v>
      </c>
      <c r="E38" t="s">
        <v>135</v>
      </c>
      <c r="F38" t="s">
        <v>32</v>
      </c>
      <c r="G38" t="s">
        <v>136</v>
      </c>
      <c r="H38" s="3">
        <v>44596</v>
      </c>
      <c r="I38" s="3">
        <v>44608</v>
      </c>
      <c r="J38" t="s">
        <v>137</v>
      </c>
      <c r="K38" t="s">
        <v>35</v>
      </c>
      <c r="L38" t="s">
        <v>138</v>
      </c>
      <c r="M38" t="s">
        <v>45</v>
      </c>
      <c r="N38" t="s">
        <v>46</v>
      </c>
      <c r="O38">
        <v>139.09</v>
      </c>
      <c r="P38" t="s">
        <v>32</v>
      </c>
      <c r="Q38">
        <v>0</v>
      </c>
      <c r="R38" t="s">
        <v>47</v>
      </c>
      <c r="S38">
        <v>0</v>
      </c>
      <c r="T38">
        <v>0</v>
      </c>
      <c r="V38">
        <v>0</v>
      </c>
      <c r="W38">
        <v>0</v>
      </c>
      <c r="Y38">
        <v>0</v>
      </c>
      <c r="Z38">
        <v>139.09</v>
      </c>
      <c r="AA38">
        <v>12.865824999999999</v>
      </c>
      <c r="AB38" t="s">
        <v>40</v>
      </c>
    </row>
    <row r="39" spans="1:28">
      <c r="A39" t="s">
        <v>114</v>
      </c>
      <c r="B39" s="3">
        <v>45231</v>
      </c>
      <c r="C39" t="s">
        <v>29</v>
      </c>
      <c r="D39" t="s">
        <v>30</v>
      </c>
      <c r="E39" t="s">
        <v>139</v>
      </c>
      <c r="F39" t="s">
        <v>32</v>
      </c>
      <c r="G39" t="s">
        <v>140</v>
      </c>
      <c r="H39" s="3">
        <v>45227</v>
      </c>
      <c r="I39" s="3">
        <v>45252</v>
      </c>
      <c r="J39" t="s">
        <v>117</v>
      </c>
      <c r="K39" t="s">
        <v>35</v>
      </c>
      <c r="L39" t="s">
        <v>118</v>
      </c>
      <c r="M39" t="s">
        <v>45</v>
      </c>
      <c r="N39" t="s">
        <v>46</v>
      </c>
      <c r="O39">
        <v>137.37</v>
      </c>
      <c r="P39" t="s">
        <v>32</v>
      </c>
      <c r="Q39">
        <v>0</v>
      </c>
      <c r="R39" t="s">
        <v>47</v>
      </c>
      <c r="S39">
        <v>0</v>
      </c>
      <c r="T39">
        <v>0</v>
      </c>
      <c r="V39">
        <v>0</v>
      </c>
      <c r="W39">
        <v>0</v>
      </c>
      <c r="Y39">
        <v>0</v>
      </c>
      <c r="Z39">
        <v>137.37</v>
      </c>
      <c r="AA39">
        <v>12.706725</v>
      </c>
      <c r="AB39" t="s">
        <v>40</v>
      </c>
    </row>
    <row r="40" spans="1:28">
      <c r="A40" t="s">
        <v>28</v>
      </c>
      <c r="B40" s="3">
        <v>44228</v>
      </c>
      <c r="C40" t="s">
        <v>29</v>
      </c>
      <c r="D40" t="s">
        <v>30</v>
      </c>
      <c r="E40" t="s">
        <v>141</v>
      </c>
      <c r="F40" t="s">
        <v>32</v>
      </c>
      <c r="G40" t="s">
        <v>142</v>
      </c>
      <c r="H40" s="3">
        <v>44235</v>
      </c>
      <c r="I40" s="3">
        <v>44246</v>
      </c>
      <c r="J40" t="s">
        <v>67</v>
      </c>
      <c r="K40" t="s">
        <v>35</v>
      </c>
      <c r="L40" t="s">
        <v>68</v>
      </c>
      <c r="M40" t="s">
        <v>45</v>
      </c>
      <c r="N40" t="s">
        <v>46</v>
      </c>
      <c r="O40">
        <v>129.22</v>
      </c>
      <c r="P40" t="s">
        <v>60</v>
      </c>
      <c r="Q40">
        <v>0</v>
      </c>
      <c r="R40" t="s">
        <v>47</v>
      </c>
      <c r="S40">
        <v>0</v>
      </c>
      <c r="T40">
        <v>0</v>
      </c>
      <c r="V40">
        <v>0</v>
      </c>
      <c r="W40">
        <v>0</v>
      </c>
      <c r="Y40">
        <v>0</v>
      </c>
      <c r="Z40">
        <v>129.22</v>
      </c>
      <c r="AA40">
        <v>11.952850000000002</v>
      </c>
      <c r="AB40" t="s">
        <v>40</v>
      </c>
    </row>
    <row r="41" spans="1:28">
      <c r="A41" t="s">
        <v>28</v>
      </c>
      <c r="B41" s="3">
        <v>44378</v>
      </c>
      <c r="C41" t="s">
        <v>29</v>
      </c>
      <c r="D41" t="s">
        <v>30</v>
      </c>
      <c r="E41" t="s">
        <v>143</v>
      </c>
      <c r="F41" t="s">
        <v>32</v>
      </c>
      <c r="G41" t="s">
        <v>144</v>
      </c>
      <c r="H41" s="3">
        <v>44400</v>
      </c>
      <c r="I41" s="3">
        <v>44404</v>
      </c>
      <c r="J41" t="s">
        <v>145</v>
      </c>
      <c r="K41" t="s">
        <v>35</v>
      </c>
      <c r="L41" t="s">
        <v>146</v>
      </c>
      <c r="M41" t="s">
        <v>45</v>
      </c>
      <c r="N41" t="s">
        <v>46</v>
      </c>
      <c r="O41">
        <v>128.94</v>
      </c>
      <c r="P41" t="s">
        <v>60</v>
      </c>
      <c r="Q41">
        <v>0</v>
      </c>
      <c r="R41" t="s">
        <v>47</v>
      </c>
      <c r="S41">
        <v>0</v>
      </c>
      <c r="T41">
        <v>0</v>
      </c>
      <c r="V41">
        <v>0</v>
      </c>
      <c r="W41">
        <v>0</v>
      </c>
      <c r="Y41">
        <v>0</v>
      </c>
      <c r="Z41">
        <v>128.94</v>
      </c>
      <c r="AA41">
        <v>11.92695</v>
      </c>
      <c r="AB41" t="s">
        <v>40</v>
      </c>
    </row>
    <row r="42" spans="1:28">
      <c r="A42" t="s">
        <v>28</v>
      </c>
      <c r="B42" s="3">
        <v>44621</v>
      </c>
      <c r="C42" t="s">
        <v>29</v>
      </c>
      <c r="D42" t="s">
        <v>30</v>
      </c>
      <c r="E42" t="s">
        <v>147</v>
      </c>
      <c r="F42" t="s">
        <v>32</v>
      </c>
      <c r="G42" t="s">
        <v>148</v>
      </c>
      <c r="H42" s="3">
        <v>44631</v>
      </c>
      <c r="I42" s="3">
        <v>44650</v>
      </c>
      <c r="J42" t="s">
        <v>67</v>
      </c>
      <c r="K42" t="s">
        <v>35</v>
      </c>
      <c r="L42" t="s">
        <v>68</v>
      </c>
      <c r="M42" t="s">
        <v>45</v>
      </c>
      <c r="N42" t="s">
        <v>46</v>
      </c>
      <c r="O42">
        <v>119.09</v>
      </c>
      <c r="P42" t="s">
        <v>60</v>
      </c>
      <c r="Q42">
        <v>0</v>
      </c>
      <c r="R42" t="s">
        <v>47</v>
      </c>
      <c r="S42">
        <v>0</v>
      </c>
      <c r="T42">
        <v>0</v>
      </c>
      <c r="V42">
        <v>0</v>
      </c>
      <c r="W42">
        <v>0</v>
      </c>
      <c r="Y42">
        <v>0</v>
      </c>
      <c r="Z42">
        <v>119.09</v>
      </c>
      <c r="AA42">
        <v>11.015825</v>
      </c>
      <c r="AB42" t="s">
        <v>40</v>
      </c>
    </row>
    <row r="43" spans="1:28">
      <c r="A43" t="s">
        <v>28</v>
      </c>
      <c r="B43" s="3">
        <v>44378</v>
      </c>
      <c r="C43" t="s">
        <v>29</v>
      </c>
      <c r="D43" t="s">
        <v>30</v>
      </c>
      <c r="E43" t="s">
        <v>149</v>
      </c>
      <c r="F43" t="s">
        <v>32</v>
      </c>
      <c r="G43" t="s">
        <v>150</v>
      </c>
      <c r="H43" s="3">
        <v>44370</v>
      </c>
      <c r="I43" s="3">
        <v>44378</v>
      </c>
      <c r="J43" t="s">
        <v>67</v>
      </c>
      <c r="K43" t="s">
        <v>35</v>
      </c>
      <c r="L43" t="s">
        <v>68</v>
      </c>
      <c r="M43" t="s">
        <v>45</v>
      </c>
      <c r="N43" t="s">
        <v>46</v>
      </c>
      <c r="O43">
        <v>115.02</v>
      </c>
      <c r="P43" t="s">
        <v>60</v>
      </c>
      <c r="Q43">
        <v>0</v>
      </c>
      <c r="R43" t="s">
        <v>47</v>
      </c>
      <c r="S43">
        <v>0</v>
      </c>
      <c r="T43">
        <v>0</v>
      </c>
      <c r="V43">
        <v>0</v>
      </c>
      <c r="W43">
        <v>0</v>
      </c>
      <c r="Y43">
        <v>0</v>
      </c>
      <c r="Z43">
        <v>115.02</v>
      </c>
      <c r="AA43">
        <v>10.63935</v>
      </c>
      <c r="AB43" t="s">
        <v>40</v>
      </c>
    </row>
    <row r="44" spans="1:28">
      <c r="A44" t="s">
        <v>28</v>
      </c>
      <c r="B44" s="3">
        <v>44652</v>
      </c>
      <c r="C44" t="s">
        <v>29</v>
      </c>
      <c r="D44" t="s">
        <v>30</v>
      </c>
      <c r="E44" t="s">
        <v>151</v>
      </c>
      <c r="F44" t="s">
        <v>32</v>
      </c>
      <c r="G44" t="s">
        <v>152</v>
      </c>
      <c r="H44" s="3">
        <v>44651</v>
      </c>
      <c r="I44" s="3">
        <v>44665</v>
      </c>
      <c r="J44" t="s">
        <v>137</v>
      </c>
      <c r="K44" t="s">
        <v>35</v>
      </c>
      <c r="L44" t="s">
        <v>138</v>
      </c>
      <c r="M44" t="s">
        <v>45</v>
      </c>
      <c r="N44" t="s">
        <v>46</v>
      </c>
      <c r="O44">
        <v>103.09</v>
      </c>
      <c r="P44" t="s">
        <v>32</v>
      </c>
      <c r="Q44">
        <v>0</v>
      </c>
      <c r="R44" t="s">
        <v>47</v>
      </c>
      <c r="S44">
        <v>0</v>
      </c>
      <c r="T44">
        <v>0</v>
      </c>
      <c r="V44">
        <v>0</v>
      </c>
      <c r="W44">
        <v>0</v>
      </c>
      <c r="Y44">
        <v>0</v>
      </c>
      <c r="Z44">
        <v>103.09</v>
      </c>
      <c r="AA44">
        <v>9.5358249999999991</v>
      </c>
      <c r="AB44" t="s">
        <v>40</v>
      </c>
    </row>
    <row r="45" spans="1:28">
      <c r="A45" t="s">
        <v>28</v>
      </c>
      <c r="B45" s="3">
        <v>44348</v>
      </c>
      <c r="C45" t="s">
        <v>29</v>
      </c>
      <c r="D45" t="s">
        <v>30</v>
      </c>
      <c r="E45" t="s">
        <v>153</v>
      </c>
      <c r="F45" t="s">
        <v>32</v>
      </c>
      <c r="G45" t="s">
        <v>154</v>
      </c>
      <c r="H45" s="3">
        <v>44364</v>
      </c>
      <c r="I45" s="3">
        <v>44370</v>
      </c>
      <c r="J45" t="s">
        <v>67</v>
      </c>
      <c r="K45" t="s">
        <v>35</v>
      </c>
      <c r="L45" t="s">
        <v>68</v>
      </c>
      <c r="M45" t="s">
        <v>45</v>
      </c>
      <c r="N45" t="s">
        <v>46</v>
      </c>
      <c r="O45">
        <v>101.94</v>
      </c>
      <c r="P45" t="s">
        <v>60</v>
      </c>
      <c r="Q45">
        <v>0</v>
      </c>
      <c r="R45" t="s">
        <v>47</v>
      </c>
      <c r="S45">
        <v>0</v>
      </c>
      <c r="T45">
        <v>0</v>
      </c>
      <c r="V45">
        <v>0</v>
      </c>
      <c r="W45">
        <v>0</v>
      </c>
      <c r="Y45">
        <v>0</v>
      </c>
      <c r="Z45">
        <v>101.94</v>
      </c>
      <c r="AA45">
        <v>9.4294499999999992</v>
      </c>
      <c r="AB45" t="s">
        <v>40</v>
      </c>
    </row>
    <row r="46" spans="1:28">
      <c r="A46" t="s">
        <v>28</v>
      </c>
      <c r="B46" s="3">
        <v>44835</v>
      </c>
      <c r="C46" t="s">
        <v>29</v>
      </c>
      <c r="D46" t="s">
        <v>30</v>
      </c>
      <c r="E46" t="s">
        <v>155</v>
      </c>
      <c r="F46" t="s">
        <v>32</v>
      </c>
      <c r="G46" t="s">
        <v>156</v>
      </c>
      <c r="H46" s="3">
        <v>44839</v>
      </c>
      <c r="I46" s="3">
        <v>44851</v>
      </c>
      <c r="J46" t="s">
        <v>67</v>
      </c>
      <c r="K46" t="s">
        <v>35</v>
      </c>
      <c r="L46" t="s">
        <v>68</v>
      </c>
      <c r="M46" t="s">
        <v>45</v>
      </c>
      <c r="N46" t="s">
        <v>46</v>
      </c>
      <c r="O46">
        <v>101.43</v>
      </c>
      <c r="P46" t="s">
        <v>60</v>
      </c>
      <c r="Q46">
        <v>0</v>
      </c>
      <c r="R46" t="s">
        <v>47</v>
      </c>
      <c r="S46">
        <v>0</v>
      </c>
      <c r="T46">
        <v>0</v>
      </c>
      <c r="V46">
        <v>0</v>
      </c>
      <c r="W46">
        <v>0</v>
      </c>
      <c r="Y46">
        <v>0</v>
      </c>
      <c r="Z46">
        <v>101.43</v>
      </c>
      <c r="AA46">
        <v>9.3822749999999999</v>
      </c>
      <c r="AB46" t="s">
        <v>40</v>
      </c>
    </row>
    <row r="47" spans="1:28">
      <c r="A47" t="s">
        <v>28</v>
      </c>
      <c r="B47" s="3">
        <v>44866</v>
      </c>
      <c r="C47" t="s">
        <v>29</v>
      </c>
      <c r="D47" t="s">
        <v>30</v>
      </c>
      <c r="E47" t="s">
        <v>157</v>
      </c>
      <c r="F47" t="s">
        <v>32</v>
      </c>
      <c r="G47" t="s">
        <v>158</v>
      </c>
      <c r="H47" s="3">
        <v>44852</v>
      </c>
      <c r="I47" s="3">
        <v>44866</v>
      </c>
      <c r="J47" t="s">
        <v>159</v>
      </c>
      <c r="K47" t="s">
        <v>35</v>
      </c>
      <c r="L47" t="s">
        <v>160</v>
      </c>
      <c r="M47" t="s">
        <v>37</v>
      </c>
      <c r="N47" t="s">
        <v>38</v>
      </c>
      <c r="O47">
        <v>97.13</v>
      </c>
      <c r="P47" t="s">
        <v>32</v>
      </c>
      <c r="Q47">
        <v>97.13</v>
      </c>
      <c r="R47" t="s">
        <v>39</v>
      </c>
      <c r="S47">
        <v>6.8</v>
      </c>
      <c r="T47">
        <v>0</v>
      </c>
      <c r="V47">
        <v>0</v>
      </c>
      <c r="W47">
        <v>0</v>
      </c>
      <c r="Y47">
        <v>0</v>
      </c>
      <c r="Z47">
        <v>97.13</v>
      </c>
      <c r="AA47">
        <v>8.9845249999999997</v>
      </c>
      <c r="AB47" t="s">
        <v>40</v>
      </c>
    </row>
    <row r="48" spans="1:28">
      <c r="A48" t="s">
        <v>28</v>
      </c>
      <c r="B48" s="3">
        <v>44713</v>
      </c>
      <c r="C48" t="s">
        <v>29</v>
      </c>
      <c r="D48" t="s">
        <v>30</v>
      </c>
      <c r="E48" t="s">
        <v>161</v>
      </c>
      <c r="F48" t="s">
        <v>32</v>
      </c>
      <c r="G48" t="s">
        <v>162</v>
      </c>
      <c r="H48" s="3">
        <v>44714</v>
      </c>
      <c r="I48" s="3">
        <v>44725</v>
      </c>
      <c r="J48" t="s">
        <v>67</v>
      </c>
      <c r="K48" t="s">
        <v>35</v>
      </c>
      <c r="L48" t="s">
        <v>68</v>
      </c>
      <c r="M48" t="s">
        <v>45</v>
      </c>
      <c r="N48" t="s">
        <v>46</v>
      </c>
      <c r="O48">
        <v>91.74</v>
      </c>
      <c r="P48" t="s">
        <v>32</v>
      </c>
      <c r="Q48">
        <v>0</v>
      </c>
      <c r="R48" t="s">
        <v>47</v>
      </c>
      <c r="S48">
        <v>0</v>
      </c>
      <c r="T48">
        <v>0</v>
      </c>
      <c r="V48">
        <v>0</v>
      </c>
      <c r="W48">
        <v>0</v>
      </c>
      <c r="Y48">
        <v>0</v>
      </c>
      <c r="Z48">
        <v>91.74</v>
      </c>
      <c r="AA48">
        <v>8.485949999999999</v>
      </c>
      <c r="AB48" t="s">
        <v>40</v>
      </c>
    </row>
    <row r="49" spans="1:28">
      <c r="A49" t="s">
        <v>28</v>
      </c>
      <c r="B49" s="3">
        <v>44440</v>
      </c>
      <c r="C49" t="s">
        <v>29</v>
      </c>
      <c r="D49" t="s">
        <v>30</v>
      </c>
      <c r="E49" t="s">
        <v>163</v>
      </c>
      <c r="F49" t="s">
        <v>32</v>
      </c>
      <c r="G49" t="s">
        <v>164</v>
      </c>
      <c r="H49" s="3">
        <v>44452</v>
      </c>
      <c r="I49" s="3">
        <v>44460</v>
      </c>
      <c r="J49" t="s">
        <v>67</v>
      </c>
      <c r="K49" t="s">
        <v>35</v>
      </c>
      <c r="L49" t="s">
        <v>68</v>
      </c>
      <c r="M49" t="s">
        <v>45</v>
      </c>
      <c r="N49" t="s">
        <v>46</v>
      </c>
      <c r="O49">
        <v>87.68</v>
      </c>
      <c r="P49" t="s">
        <v>60</v>
      </c>
      <c r="Q49">
        <v>0</v>
      </c>
      <c r="R49" t="s">
        <v>47</v>
      </c>
      <c r="S49">
        <v>0</v>
      </c>
      <c r="T49">
        <v>0</v>
      </c>
      <c r="V49">
        <v>0</v>
      </c>
      <c r="W49">
        <v>0</v>
      </c>
      <c r="Y49">
        <v>0</v>
      </c>
      <c r="Z49">
        <v>87.68</v>
      </c>
      <c r="AA49">
        <v>8.1104000000000003</v>
      </c>
      <c r="AB49" t="s">
        <v>40</v>
      </c>
    </row>
    <row r="50" spans="1:28">
      <c r="A50" t="s">
        <v>28</v>
      </c>
      <c r="B50" s="3">
        <v>44621</v>
      </c>
      <c r="C50" t="s">
        <v>29</v>
      </c>
      <c r="D50" t="s">
        <v>30</v>
      </c>
      <c r="E50" t="s">
        <v>165</v>
      </c>
      <c r="F50" t="s">
        <v>32</v>
      </c>
      <c r="G50" t="s">
        <v>166</v>
      </c>
      <c r="H50" s="3">
        <v>44636</v>
      </c>
      <c r="I50" s="3">
        <v>44650</v>
      </c>
      <c r="J50" t="s">
        <v>67</v>
      </c>
      <c r="K50" t="s">
        <v>35</v>
      </c>
      <c r="L50" t="s">
        <v>68</v>
      </c>
      <c r="M50" t="s">
        <v>45</v>
      </c>
      <c r="N50" t="s">
        <v>46</v>
      </c>
      <c r="O50">
        <v>81.819999999999993</v>
      </c>
      <c r="P50" t="s">
        <v>32</v>
      </c>
      <c r="Q50">
        <v>0</v>
      </c>
      <c r="R50" t="s">
        <v>47</v>
      </c>
      <c r="S50">
        <v>0</v>
      </c>
      <c r="T50">
        <v>0</v>
      </c>
      <c r="V50">
        <v>0</v>
      </c>
      <c r="W50">
        <v>0</v>
      </c>
      <c r="Y50">
        <v>0</v>
      </c>
      <c r="Z50">
        <v>81.819999999999993</v>
      </c>
      <c r="AA50">
        <v>7.5683499999999988</v>
      </c>
      <c r="AB50" t="s">
        <v>40</v>
      </c>
    </row>
    <row r="51" spans="1:28">
      <c r="A51" t="s">
        <v>28</v>
      </c>
      <c r="B51" s="3">
        <v>44652</v>
      </c>
      <c r="C51" t="s">
        <v>29</v>
      </c>
      <c r="D51" t="s">
        <v>30</v>
      </c>
      <c r="E51" t="s">
        <v>167</v>
      </c>
      <c r="F51" t="s">
        <v>32</v>
      </c>
      <c r="G51" t="s">
        <v>168</v>
      </c>
      <c r="H51" s="3">
        <v>44650</v>
      </c>
      <c r="I51" s="3">
        <v>44669</v>
      </c>
      <c r="J51" t="s">
        <v>67</v>
      </c>
      <c r="K51" t="s">
        <v>35</v>
      </c>
      <c r="L51" t="s">
        <v>68</v>
      </c>
      <c r="M51" t="s">
        <v>45</v>
      </c>
      <c r="N51" t="s">
        <v>46</v>
      </c>
      <c r="O51">
        <v>80.900000000000006</v>
      </c>
      <c r="P51" t="s">
        <v>32</v>
      </c>
      <c r="Q51">
        <v>0</v>
      </c>
      <c r="R51" t="s">
        <v>47</v>
      </c>
      <c r="S51">
        <v>0</v>
      </c>
      <c r="T51">
        <v>0</v>
      </c>
      <c r="V51">
        <v>0</v>
      </c>
      <c r="W51">
        <v>0</v>
      </c>
      <c r="Y51">
        <v>0</v>
      </c>
      <c r="Z51">
        <v>80.900000000000006</v>
      </c>
      <c r="AA51">
        <v>7.4832500000000008</v>
      </c>
      <c r="AB51" t="s">
        <v>40</v>
      </c>
    </row>
    <row r="52" spans="1:28">
      <c r="A52" t="s">
        <v>28</v>
      </c>
      <c r="B52" s="3">
        <v>44197</v>
      </c>
      <c r="C52" t="s">
        <v>29</v>
      </c>
      <c r="D52" t="s">
        <v>30</v>
      </c>
      <c r="E52" t="s">
        <v>169</v>
      </c>
      <c r="F52" t="s">
        <v>32</v>
      </c>
      <c r="G52" t="s">
        <v>170</v>
      </c>
      <c r="H52" s="3">
        <v>44200</v>
      </c>
      <c r="I52" s="3">
        <v>44215</v>
      </c>
      <c r="J52" t="s">
        <v>171</v>
      </c>
      <c r="K52" t="s">
        <v>35</v>
      </c>
      <c r="L52" t="s">
        <v>172</v>
      </c>
      <c r="M52" t="s">
        <v>45</v>
      </c>
      <c r="N52" t="s">
        <v>46</v>
      </c>
      <c r="O52">
        <v>67.42</v>
      </c>
      <c r="P52" t="s">
        <v>60</v>
      </c>
      <c r="Q52">
        <v>0</v>
      </c>
      <c r="R52" t="s">
        <v>47</v>
      </c>
      <c r="S52">
        <v>0</v>
      </c>
      <c r="T52">
        <v>0</v>
      </c>
      <c r="V52">
        <v>0</v>
      </c>
      <c r="W52">
        <v>0</v>
      </c>
      <c r="Y52">
        <v>0</v>
      </c>
      <c r="Z52">
        <v>67.42</v>
      </c>
      <c r="AA52">
        <v>6.2363499999999998</v>
      </c>
      <c r="AB52" t="s">
        <v>40</v>
      </c>
    </row>
    <row r="53" spans="1:28">
      <c r="A53" t="s">
        <v>28</v>
      </c>
      <c r="B53" s="3">
        <v>45323</v>
      </c>
      <c r="C53" t="s">
        <v>29</v>
      </c>
      <c r="D53" t="s">
        <v>30</v>
      </c>
      <c r="E53" t="s">
        <v>173</v>
      </c>
      <c r="F53" t="s">
        <v>32</v>
      </c>
      <c r="G53" t="s">
        <v>174</v>
      </c>
      <c r="H53" s="3">
        <v>45328</v>
      </c>
      <c r="I53" s="3">
        <v>45350</v>
      </c>
      <c r="J53" t="s">
        <v>67</v>
      </c>
      <c r="K53" t="s">
        <v>35</v>
      </c>
      <c r="L53" t="s">
        <v>68</v>
      </c>
      <c r="M53" t="s">
        <v>45</v>
      </c>
      <c r="N53" t="s">
        <v>46</v>
      </c>
      <c r="O53">
        <v>0.01</v>
      </c>
      <c r="P53" t="s">
        <v>32</v>
      </c>
      <c r="Q53">
        <v>0</v>
      </c>
      <c r="R53" t="s">
        <v>47</v>
      </c>
      <c r="S53">
        <v>0</v>
      </c>
      <c r="T53">
        <v>0</v>
      </c>
      <c r="V53">
        <v>0</v>
      </c>
      <c r="W53">
        <v>0</v>
      </c>
      <c r="Y53">
        <v>0</v>
      </c>
      <c r="Z53">
        <v>0.01</v>
      </c>
      <c r="AA53">
        <v>9.2500000000000004E-4</v>
      </c>
      <c r="AB53" t="s">
        <v>40</v>
      </c>
    </row>
    <row r="54" spans="1:28">
      <c r="A54" t="s">
        <v>28</v>
      </c>
      <c r="B54" s="3">
        <v>45352</v>
      </c>
      <c r="C54" t="s">
        <v>29</v>
      </c>
      <c r="D54" t="s">
        <v>30</v>
      </c>
      <c r="E54" t="s">
        <v>175</v>
      </c>
      <c r="F54" t="s">
        <v>32</v>
      </c>
      <c r="G54" t="s">
        <v>176</v>
      </c>
      <c r="H54" s="3">
        <v>45349</v>
      </c>
      <c r="I54" s="3">
        <v>45369</v>
      </c>
      <c r="J54" t="s">
        <v>67</v>
      </c>
      <c r="K54" t="s">
        <v>35</v>
      </c>
      <c r="L54" t="s">
        <v>68</v>
      </c>
      <c r="M54" t="s">
        <v>45</v>
      </c>
      <c r="N54" t="s">
        <v>46</v>
      </c>
      <c r="O54">
        <v>0.01</v>
      </c>
      <c r="P54" t="s">
        <v>32</v>
      </c>
      <c r="Q54">
        <v>0</v>
      </c>
      <c r="R54" t="s">
        <v>47</v>
      </c>
      <c r="S54">
        <v>0</v>
      </c>
      <c r="T54">
        <v>0</v>
      </c>
      <c r="V54">
        <v>0</v>
      </c>
      <c r="W54">
        <v>0</v>
      </c>
      <c r="Y54">
        <v>0</v>
      </c>
      <c r="Z54">
        <v>0.01</v>
      </c>
      <c r="AA54">
        <v>9.2500000000000004E-4</v>
      </c>
      <c r="AB54" t="s">
        <v>40</v>
      </c>
    </row>
    <row r="55" spans="1:28">
      <c r="A55" t="s">
        <v>28</v>
      </c>
      <c r="B55" s="3">
        <v>45505</v>
      </c>
      <c r="C55" t="s">
        <v>29</v>
      </c>
      <c r="D55" t="s">
        <v>30</v>
      </c>
      <c r="E55" t="s">
        <v>177</v>
      </c>
      <c r="F55" t="s">
        <v>32</v>
      </c>
      <c r="G55" t="s">
        <v>178</v>
      </c>
      <c r="H55" s="3">
        <v>45509</v>
      </c>
      <c r="I55" s="3">
        <v>45517</v>
      </c>
      <c r="J55" t="s">
        <v>67</v>
      </c>
      <c r="K55" t="s">
        <v>35</v>
      </c>
      <c r="L55" t="s">
        <v>68</v>
      </c>
      <c r="M55" t="s">
        <v>45</v>
      </c>
      <c r="N55" t="s">
        <v>46</v>
      </c>
      <c r="O55">
        <v>0.01</v>
      </c>
      <c r="P55" t="s">
        <v>32</v>
      </c>
      <c r="Q55">
        <v>0</v>
      </c>
      <c r="R55" t="s">
        <v>47</v>
      </c>
      <c r="S55">
        <v>0</v>
      </c>
      <c r="T55">
        <v>0</v>
      </c>
      <c r="V55">
        <v>0</v>
      </c>
      <c r="W55">
        <v>0</v>
      </c>
      <c r="Y55">
        <v>0</v>
      </c>
      <c r="Z55">
        <v>0.01</v>
      </c>
      <c r="AA55">
        <v>9.2500000000000004E-4</v>
      </c>
      <c r="AB55" t="s">
        <v>40</v>
      </c>
    </row>
    <row r="56" spans="1:28">
      <c r="A56" t="s">
        <v>28</v>
      </c>
      <c r="B56" s="3">
        <v>45505</v>
      </c>
      <c r="C56" t="s">
        <v>29</v>
      </c>
      <c r="D56" t="s">
        <v>30</v>
      </c>
      <c r="E56" t="s">
        <v>179</v>
      </c>
      <c r="F56" t="s">
        <v>32</v>
      </c>
      <c r="G56" t="s">
        <v>180</v>
      </c>
      <c r="H56" s="3">
        <v>45526</v>
      </c>
      <c r="I56" s="3">
        <v>45534</v>
      </c>
      <c r="J56" t="s">
        <v>67</v>
      </c>
      <c r="K56" t="s">
        <v>35</v>
      </c>
      <c r="L56" t="s">
        <v>68</v>
      </c>
      <c r="M56" t="s">
        <v>45</v>
      </c>
      <c r="N56" t="s">
        <v>46</v>
      </c>
      <c r="O56">
        <v>0.01</v>
      </c>
      <c r="P56" t="s">
        <v>32</v>
      </c>
      <c r="Q56">
        <v>0</v>
      </c>
      <c r="R56" t="s">
        <v>47</v>
      </c>
      <c r="S56">
        <v>0</v>
      </c>
      <c r="T56">
        <v>0</v>
      </c>
      <c r="V56">
        <v>0</v>
      </c>
      <c r="W56">
        <v>0</v>
      </c>
      <c r="Y56">
        <v>0</v>
      </c>
      <c r="Z56">
        <v>0.01</v>
      </c>
      <c r="AA56">
        <v>9.2500000000000004E-4</v>
      </c>
      <c r="AB56" t="s">
        <v>40</v>
      </c>
    </row>
    <row r="57" spans="1:28">
      <c r="A57" t="s">
        <v>28</v>
      </c>
      <c r="B57" s="3">
        <v>45689</v>
      </c>
      <c r="C57" t="s">
        <v>29</v>
      </c>
      <c r="D57" t="s">
        <v>30</v>
      </c>
      <c r="E57" t="s">
        <v>181</v>
      </c>
      <c r="F57" t="s">
        <v>32</v>
      </c>
      <c r="G57" t="s">
        <v>182</v>
      </c>
      <c r="H57" s="3">
        <v>45693</v>
      </c>
      <c r="I57" s="3">
        <v>45702</v>
      </c>
      <c r="J57" t="s">
        <v>67</v>
      </c>
      <c r="K57" t="s">
        <v>35</v>
      </c>
      <c r="L57" t="s">
        <v>68</v>
      </c>
      <c r="M57" t="s">
        <v>45</v>
      </c>
      <c r="N57" t="s">
        <v>46</v>
      </c>
      <c r="O57">
        <v>0.01</v>
      </c>
      <c r="P57" t="s">
        <v>32</v>
      </c>
      <c r="Q57">
        <v>0</v>
      </c>
      <c r="R57" t="s">
        <v>47</v>
      </c>
      <c r="S57">
        <v>0</v>
      </c>
      <c r="T57">
        <v>0</v>
      </c>
      <c r="V57">
        <v>0</v>
      </c>
      <c r="W57">
        <v>0</v>
      </c>
      <c r="Y57">
        <v>0</v>
      </c>
      <c r="Z57">
        <v>0.01</v>
      </c>
      <c r="AA57">
        <v>9.2500000000000004E-4</v>
      </c>
      <c r="AB57" t="s">
        <v>40</v>
      </c>
    </row>
    <row r="58" spans="1:28">
      <c r="A58" s="1" t="s">
        <v>183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>
        <v>183508.18999999997</v>
      </c>
      <c r="P58" s="1"/>
      <c r="Q58" s="1">
        <v>39227.369999999995</v>
      </c>
      <c r="R58" s="1"/>
      <c r="S58" s="1">
        <v>2775.76</v>
      </c>
      <c r="T58" s="1">
        <v>0</v>
      </c>
      <c r="U58" s="1"/>
      <c r="V58" s="1">
        <v>0</v>
      </c>
      <c r="W58" s="1">
        <v>0</v>
      </c>
      <c r="X58" s="1"/>
      <c r="Y58" s="1">
        <v>0</v>
      </c>
      <c r="Z58" s="1">
        <v>183508.19</v>
      </c>
      <c r="AA58" s="1">
        <v>16974.507575</v>
      </c>
      <c r="AB58" s="1"/>
    </row>
    <row r="60" spans="1:28">
      <c r="A60" t="s">
        <v>184</v>
      </c>
      <c r="Z60">
        <f>Z58*1.65%</f>
        <v>3027.885135</v>
      </c>
    </row>
    <row r="61" spans="1:28">
      <c r="Z61">
        <f>Z58*7.6%</f>
        <v>13946.622439999999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Exatas</cp:lastModifiedBy>
  <dcterms:modified xsi:type="dcterms:W3CDTF">2026-02-25T19:29:30Z</dcterms:modified>
</cp:coreProperties>
</file>